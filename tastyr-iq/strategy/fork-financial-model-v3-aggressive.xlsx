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Revenue Projections" sheetId="2" state="visible" r:id="rId2"/>
    <sheet xmlns:r="http://schemas.openxmlformats.org/officeDocument/2006/relationships" name="Cost Structure" sheetId="3" state="visible" r:id="rId3"/>
    <sheet xmlns:r="http://schemas.openxmlformats.org/officeDocument/2006/relationships" name="Unit Economics" sheetId="4" state="visible" r:id="rId4"/>
    <sheet xmlns:r="http://schemas.openxmlformats.org/officeDocument/2006/relationships" name="Funding &amp; Runway" sheetId="5" state="visible" r:id="rId5"/>
    <sheet xmlns:r="http://schemas.openxmlformats.org/officeDocument/2006/relationships" name="Assumptions" sheetId="6" state="visible" r:id="rId6"/>
    <sheet xmlns:r="http://schemas.openxmlformats.org/officeDocument/2006/relationships" name="Investor Retur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"/>
    <numFmt numFmtId="165" formatCode="0.0&quot;%&quot;"/>
    <numFmt numFmtId="166" formatCode="0.0"/>
    <numFmt numFmtId="167" formatCode="0.0%"/>
  </numFmts>
  <fonts count="7">
    <font>
      <name val="Calibri"/>
      <family val="2"/>
      <color theme="1"/>
      <sz val="11"/>
      <scheme val="minor"/>
    </font>
    <font>
      <name val="Calibri"/>
      <b val="1"/>
      <color rgb="00C2410C"/>
      <sz val="16"/>
    </font>
    <font>
      <name val="Calibri"/>
      <b val="1"/>
      <sz val="11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666666"/>
      <sz val="11"/>
    </font>
    <font>
      <name val="Calibri"/>
      <i val="1"/>
      <color rgb="00666666"/>
      <sz val="10"/>
    </font>
  </fonts>
  <fills count="5">
    <fill>
      <patternFill/>
    </fill>
    <fill>
      <patternFill patternType="gray125"/>
    </fill>
    <fill>
      <patternFill patternType="solid">
        <fgColor rgb="00F97316"/>
        <bgColor rgb="00F97316"/>
      </patternFill>
    </fill>
    <fill>
      <patternFill patternType="solid">
        <fgColor rgb="00FFF7ED"/>
        <bgColor rgb="00FFF7ED"/>
      </patternFill>
    </fill>
    <fill>
      <patternFill patternType="solid">
        <fgColor rgb="00FFEDD5"/>
        <bgColor rgb="00FFEDD5"/>
      </patternFill>
    </fill>
  </fills>
  <borders count="2">
    <border>
      <left/>
      <right/>
      <top/>
      <bottom/>
      <diagonal/>
    </border>
    <border>
      <left style="thin">
        <color rgb="00FED7AA"/>
      </left>
      <right style="thin">
        <color rgb="00FED7AA"/>
      </right>
      <top style="thin">
        <color rgb="00FED7AA"/>
      </top>
      <bottom style="thin">
        <color rgb="00FED7AA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5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3" fontId="4" fillId="0" borderId="1" applyAlignment="1" pivotButton="0" quotePrefix="0" xfId="0">
      <alignment horizontal="center" vertical="center"/>
    </xf>
    <xf numFmtId="3" fontId="4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164" fontId="0" fillId="0" borderId="0" pivotButton="0" quotePrefix="0" xfId="0"/>
    <xf numFmtId="164" fontId="2" fillId="4" borderId="0" pivotButton="0" quotePrefix="0" xfId="0"/>
    <xf numFmtId="165" fontId="0" fillId="0" borderId="0" pivotButton="0" quotePrefix="0" xfId="0"/>
    <xf numFmtId="164" fontId="0" fillId="4" borderId="0" pivotButton="0" quotePrefix="0" xfId="0"/>
    <xf numFmtId="166" fontId="0" fillId="4" borderId="0" pivotButton="0" quotePrefix="0" xfId="0"/>
    <xf numFmtId="49" fontId="0" fillId="4" borderId="0" pivotButton="0" quotePrefix="0" xfId="0"/>
    <xf numFmtId="167" fontId="4" fillId="0" borderId="1" applyAlignment="1" pivotButton="0" quotePrefix="0" xfId="0">
      <alignment horizontal="center" vertical="center"/>
    </xf>
    <xf numFmtId="167" fontId="4" fillId="3" borderId="1" applyAlignment="1" pivotButton="0" quotePrefix="0" xfId="0">
      <alignment horizontal="center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Quarterly Revenue by Stream (2027-2029)</a:t>
            </a:r>
          </a:p>
        </rich>
      </tx>
    </title>
    <plotArea>
      <barChart>
        <barDir val="col"/>
        <grouping val="clustered"/>
        <ser>
          <idx val="0"/>
          <order val="0"/>
          <tx>
            <v>B2C Revenue</v>
          </tx>
          <spPr>
            <a:ln xmlns:a="http://schemas.openxmlformats.org/drawingml/2006/main">
              <a:prstDash val="solid"/>
            </a:ln>
          </spPr>
          <cat>
            <numRef>
              <f>'Revenue Projections'!$B$29:$M$29</f>
            </numRef>
          </cat>
          <val>
            <numRef>
              <f>'Revenue Projections'!$B$30:$M$30</f>
            </numRef>
          </val>
        </ser>
        <ser>
          <idx val="1"/>
          <order val="1"/>
          <tx>
            <v>B2B Revenue</v>
          </tx>
          <spPr>
            <a:ln xmlns:a="http://schemas.openxmlformats.org/drawingml/2006/main">
              <a:prstDash val="solid"/>
            </a:ln>
          </spPr>
          <cat>
            <numRef>
              <f>'Revenue Projections'!$B$29:$M$29</f>
            </numRef>
          </cat>
          <val>
            <numRef>
              <f>'Revenue Projections'!$B$31:$M$31</f>
            </numRef>
          </val>
        </ser>
        <ser>
          <idx val="2"/>
          <order val="2"/>
          <tx>
            <v>Data Licensing</v>
          </tx>
          <spPr>
            <a:ln xmlns:a="http://schemas.openxmlformats.org/drawingml/2006/main">
              <a:prstDash val="solid"/>
            </a:ln>
          </spPr>
          <cat>
            <numRef>
              <f>'Revenue Projections'!$B$29:$M$29</f>
            </numRef>
          </cat>
          <val>
            <numRef>
              <f>'Revenue Projections'!$B$32:$M$32</f>
            </numRef>
          </val>
        </ser>
        <ser>
          <idx val="3"/>
          <order val="3"/>
          <tx>
            <v>Promoted Dishes</v>
          </tx>
          <spPr>
            <a:ln xmlns:a="http://schemas.openxmlformats.org/drawingml/2006/main">
              <a:prstDash val="solid"/>
            </a:ln>
          </spPr>
          <cat>
            <numRef>
              <f>'Revenue Projections'!$B$29:$M$29</f>
            </numRef>
          </cat>
          <val>
            <numRef>
              <f>'Revenue Projections'!$B$33:$M$33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Cash Position Over Time</a:t>
            </a:r>
          </a:p>
        </rich>
      </tx>
    </title>
    <plotArea>
      <lineChart>
        <grouping val="standard"/>
        <ser>
          <idx val="0"/>
          <order val="0"/>
          <tx>
            <v>Cash Balance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'Funding &amp; Runway'!$B$46:$Y$46</f>
            </numRef>
          </cat>
          <val>
            <numRef>
              <f>'Funding &amp; Runway'!$B$47:$Y$47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Period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Cash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34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48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0" customWidth="1" min="1" max="1"/>
    <col width="24" customWidth="1" min="2" max="2"/>
    <col width="40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FORK Financial Model -- Aggressive / Upside Summary</t>
        </is>
      </c>
    </row>
    <row r="2">
      <c r="A2" s="2" t="inlineStr">
        <is>
          <t>AI-Powered Dish Intelligence Platform | Philadelphia Launch</t>
        </is>
      </c>
    </row>
    <row r="3"/>
    <row r="4">
      <c r="A4" s="3" t="inlineStr">
        <is>
          <t>KEY METRICS</t>
        </is>
      </c>
    </row>
    <row r="5">
      <c r="A5" s="4" t="inlineStr">
        <is>
          <t>Metric</t>
        </is>
      </c>
      <c r="B5" s="4" t="inlineStr">
        <is>
          <t>2026</t>
        </is>
      </c>
      <c r="C5" s="4" t="inlineStr">
        <is>
          <t>2027</t>
        </is>
      </c>
      <c r="D5" s="4" t="inlineStr">
        <is>
          <t>2028</t>
        </is>
      </c>
      <c r="E5" s="4" t="inlineStr">
        <is>
          <t>2029</t>
        </is>
      </c>
    </row>
    <row r="6">
      <c r="A6" s="5" t="inlineStr">
        <is>
          <t>Total Revenue</t>
        </is>
      </c>
      <c r="B6" s="6" t="n">
        <v>257487.49</v>
      </c>
      <c r="C6" s="6" t="n">
        <v>661524.74</v>
      </c>
      <c r="D6" s="6" t="n">
        <v>2042663.19</v>
      </c>
      <c r="E6" s="6" t="n">
        <v>16152545.81</v>
      </c>
    </row>
    <row r="7">
      <c r="A7" s="7" t="inlineStr">
        <is>
          <t>ARR (exit run-rate)</t>
        </is>
      </c>
      <c r="B7" s="8" t="n">
        <v>524920.2</v>
      </c>
      <c r="C7" s="8" t="n">
        <v>878039.84</v>
      </c>
      <c r="D7" s="8" t="n">
        <v>3318884.56</v>
      </c>
      <c r="E7" s="8" t="n">
        <v>32363032</v>
      </c>
    </row>
    <row r="8">
      <c r="A8" s="5" t="inlineStr">
        <is>
          <t>End Users</t>
        </is>
      </c>
      <c r="B8" s="6" t="n">
        <v>1378</v>
      </c>
      <c r="C8" s="9" t="inlineStr">
        <is>
          <t>--</t>
        </is>
      </c>
      <c r="D8" s="9" t="inlineStr">
        <is>
          <t>--</t>
        </is>
      </c>
      <c r="E8" s="9" t="inlineStr">
        <is>
          <t>--</t>
        </is>
      </c>
    </row>
    <row r="9">
      <c r="A9" s="7" t="inlineStr">
        <is>
          <t>Restaurant Partners</t>
        </is>
      </c>
      <c r="B9" s="8" t="n">
        <v>58</v>
      </c>
      <c r="C9" s="7" t="inlineStr">
        <is>
          <t>--</t>
        </is>
      </c>
      <c r="D9" s="7" t="inlineStr">
        <is>
          <t>--</t>
        </is>
      </c>
      <c r="E9" s="7" t="inlineStr">
        <is>
          <t>--</t>
        </is>
      </c>
    </row>
    <row r="10"/>
    <row r="11"/>
    <row r="12">
      <c r="A12" s="3" t="inlineStr">
        <is>
          <t>FUNDING SUMMARY</t>
        </is>
      </c>
    </row>
    <row r="13">
      <c r="A13" s="4" t="inlineStr">
        <is>
          <t>Parameter</t>
        </is>
      </c>
      <c r="B13" s="4" t="inlineStr">
        <is>
          <t>Value</t>
        </is>
      </c>
    </row>
    <row r="14">
      <c r="A14" s="5" t="inlineStr">
        <is>
          <t>Raise Target</t>
        </is>
      </c>
      <c r="B14" s="10" t="n">
        <v>1500000</v>
      </c>
    </row>
    <row r="15">
      <c r="A15" s="7" t="inlineStr">
        <is>
          <t>Pre-Money Valuation</t>
        </is>
      </c>
      <c r="B15" s="8" t="n">
        <v>6000000</v>
      </c>
    </row>
    <row r="16">
      <c r="A16" s="5" t="inlineStr">
        <is>
          <t>Post-Money Valuation</t>
        </is>
      </c>
      <c r="B16" s="10" t="n">
        <v>7500000</v>
      </c>
    </row>
    <row r="17">
      <c r="A17" s="7" t="inlineStr">
        <is>
          <t>Investor Ownership</t>
        </is>
      </c>
      <c r="B17" s="7" t="inlineStr">
        <is>
          <t>20.0%</t>
        </is>
      </c>
    </row>
    <row r="18">
      <c r="A18" s="5" t="inlineStr">
        <is>
          <t>Avg Monthly Burn</t>
        </is>
      </c>
      <c r="B18" s="10" t="n">
        <v>37207</v>
      </c>
    </row>
    <row r="19">
      <c r="A19" s="7" t="inlineStr">
        <is>
          <t>Cash EOY 2026</t>
        </is>
      </c>
      <c r="B19" s="8" t="n">
        <v>1311009</v>
      </c>
    </row>
    <row r="20">
      <c r="A20" s="5" t="inlineStr">
        <is>
          <t>Runway from EOY 2026</t>
        </is>
      </c>
      <c r="B20" s="5" t="inlineStr">
        <is>
          <t>35.2 months</t>
        </is>
      </c>
    </row>
    <row r="21">
      <c r="A21" s="7" t="inlineStr">
        <is>
          <t>Est. Break-Even</t>
        </is>
      </c>
      <c r="B21" s="7" t="inlineStr">
        <is>
          <t>Q1-27</t>
        </is>
      </c>
    </row>
    <row r="22"/>
    <row r="23"/>
    <row r="24">
      <c r="A24" s="3" t="inlineStr">
        <is>
          <t>REVENUE STREAMS</t>
        </is>
      </c>
    </row>
    <row r="25">
      <c r="A25" s="4" t="inlineStr">
        <is>
          <t>Stream</t>
        </is>
      </c>
      <c r="B25" s="4" t="inlineStr">
        <is>
          <t>Pricing</t>
        </is>
      </c>
      <c r="C25" s="4" t="inlineStr">
        <is>
          <t>Description</t>
        </is>
      </c>
    </row>
    <row r="26">
      <c r="A26" s="5" t="inlineStr">
        <is>
          <t>B2C Subscriptions</t>
        </is>
      </c>
      <c r="B26" s="5" t="inlineStr">
        <is>
          <t>$4.99/mo premium</t>
        </is>
      </c>
      <c r="C26" s="5" t="inlineStr">
        <is>
          <t>Dish ratings, personalized recommendations</t>
        </is>
      </c>
    </row>
    <row r="27">
      <c r="A27" s="7" t="inlineStr">
        <is>
          <t>B2B Restaurant SaaS</t>
        </is>
      </c>
      <c r="B27" s="7" t="inlineStr">
        <is>
          <t>$500/mo per restaurant</t>
        </is>
      </c>
      <c r="C27" s="7" t="inlineStr">
        <is>
          <t>Dashboard, analytics, menu optimization</t>
        </is>
      </c>
    </row>
    <row r="28">
      <c r="A28" s="5" t="inlineStr">
        <is>
          <t>Data Licensing</t>
        </is>
      </c>
      <c r="B28" s="5" t="inlineStr">
        <is>
          <t>Enterprise contracts</t>
        </is>
      </c>
      <c r="C28" s="5" t="inlineStr">
        <is>
          <t>Aggregated dish intelligence data</t>
        </is>
      </c>
    </row>
    <row r="29">
      <c r="A29" s="7" t="inlineStr">
        <is>
          <t>Promoted Dishes</t>
        </is>
      </c>
      <c r="B29" s="7" t="inlineStr">
        <is>
          <t>CPC model</t>
        </is>
      </c>
      <c r="C29" s="7" t="inlineStr">
        <is>
          <t>Restaurants pay for dish visibility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8" customWidth="1" min="14" max="14"/>
  </cols>
  <sheetData>
    <row r="1">
      <c r="A1" s="1" t="inlineStr">
        <is>
          <t>FORK Revenue Projections -- Aggressive / Upside</t>
        </is>
      </c>
    </row>
    <row r="2"/>
    <row r="3">
      <c r="A3" s="3" t="inlineStr">
        <is>
          <t>2026 Monthly Breakdown</t>
        </is>
      </c>
    </row>
    <row r="4">
      <c r="A4" s="4" t="inlineStr">
        <is>
          <t>Metric</t>
        </is>
      </c>
      <c r="B4" s="4" t="inlineStr">
        <is>
          <t>Jan-26</t>
        </is>
      </c>
      <c r="C4" s="4" t="inlineStr">
        <is>
          <t>Feb-26</t>
        </is>
      </c>
      <c r="D4" s="4" t="inlineStr">
        <is>
          <t>Mar-26</t>
        </is>
      </c>
      <c r="E4" s="4" t="inlineStr">
        <is>
          <t>Apr-26</t>
        </is>
      </c>
      <c r="F4" s="4" t="inlineStr">
        <is>
          <t>May-26</t>
        </is>
      </c>
      <c r="G4" s="4" t="inlineStr">
        <is>
          <t>Jun-26</t>
        </is>
      </c>
      <c r="H4" s="4" t="inlineStr">
        <is>
          <t>Jul-26</t>
        </is>
      </c>
      <c r="I4" s="4" t="inlineStr">
        <is>
          <t>Aug-26</t>
        </is>
      </c>
      <c r="J4" s="4" t="inlineStr">
        <is>
          <t>Sep-26</t>
        </is>
      </c>
      <c r="K4" s="4" t="inlineStr">
        <is>
          <t>Oct-26</t>
        </is>
      </c>
      <c r="L4" s="4" t="inlineStr">
        <is>
          <t>Nov-26</t>
        </is>
      </c>
      <c r="M4" s="4" t="inlineStr">
        <is>
          <t>Dec-26</t>
        </is>
      </c>
      <c r="N4" s="4" t="inlineStr">
        <is>
          <t>2026 Total</t>
        </is>
      </c>
    </row>
    <row r="5">
      <c r="A5" s="5" t="inlineStr">
        <is>
          <t>Total Users</t>
        </is>
      </c>
      <c r="B5" s="11" t="n">
        <v>0</v>
      </c>
      <c r="C5" s="11" t="n">
        <v>150</v>
      </c>
      <c r="D5" s="11" t="n">
        <v>187</v>
      </c>
      <c r="E5" s="11" t="n">
        <v>233</v>
      </c>
      <c r="F5" s="11" t="n">
        <v>291</v>
      </c>
      <c r="G5" s="11" t="n">
        <v>363</v>
      </c>
      <c r="H5" s="11" t="n">
        <v>453</v>
      </c>
      <c r="I5" s="11" t="n">
        <v>566</v>
      </c>
      <c r="J5" s="11" t="n">
        <v>707</v>
      </c>
      <c r="K5" s="11" t="n">
        <v>883</v>
      </c>
      <c r="L5" s="11" t="n">
        <v>1103</v>
      </c>
      <c r="M5" s="11" t="n">
        <v>1378</v>
      </c>
      <c r="N5" s="11" t="n">
        <v>1378</v>
      </c>
    </row>
    <row r="6">
      <c r="A6" s="7" t="inlineStr">
        <is>
          <t>Premium Users</t>
        </is>
      </c>
      <c r="B6" s="12" t="n">
        <v>0</v>
      </c>
      <c r="C6" s="12" t="n">
        <v>18</v>
      </c>
      <c r="D6" s="12" t="n">
        <v>22</v>
      </c>
      <c r="E6" s="12" t="n">
        <v>27</v>
      </c>
      <c r="F6" s="12" t="n">
        <v>34</v>
      </c>
      <c r="G6" s="12" t="n">
        <v>43</v>
      </c>
      <c r="H6" s="12" t="n">
        <v>54</v>
      </c>
      <c r="I6" s="12" t="n">
        <v>67</v>
      </c>
      <c r="J6" s="12" t="n">
        <v>84</v>
      </c>
      <c r="K6" s="12" t="n">
        <v>105</v>
      </c>
      <c r="L6" s="12" t="n">
        <v>132</v>
      </c>
      <c r="M6" s="12" t="n">
        <v>165</v>
      </c>
      <c r="N6" s="12" t="n">
        <v>165</v>
      </c>
    </row>
    <row r="7">
      <c r="A7" s="5" t="inlineStr">
        <is>
          <t>B2C Revenue</t>
        </is>
      </c>
      <c r="B7" s="10" t="n">
        <v>0</v>
      </c>
      <c r="C7" s="10" t="n">
        <v>89.81999999999999</v>
      </c>
      <c r="D7" s="10" t="n">
        <v>109.78</v>
      </c>
      <c r="E7" s="10" t="n">
        <v>134.73</v>
      </c>
      <c r="F7" s="10" t="n">
        <v>169.66</v>
      </c>
      <c r="G7" s="10" t="n">
        <v>214.57</v>
      </c>
      <c r="H7" s="10" t="n">
        <v>269.46</v>
      </c>
      <c r="I7" s="10" t="n">
        <v>334.33</v>
      </c>
      <c r="J7" s="10" t="n">
        <v>419.16</v>
      </c>
      <c r="K7" s="10" t="n">
        <v>523.95</v>
      </c>
      <c r="L7" s="10" t="n">
        <v>658.6799999999999</v>
      </c>
      <c r="M7" s="10" t="n">
        <v>823.35</v>
      </c>
      <c r="N7" s="10" t="n">
        <v>3747.49</v>
      </c>
    </row>
    <row r="8">
      <c r="A8" s="7" t="inlineStr">
        <is>
          <t>Active Restaurants</t>
        </is>
      </c>
      <c r="B8" s="12" t="n">
        <v>0</v>
      </c>
      <c r="C8" s="12" t="n">
        <v>8</v>
      </c>
      <c r="D8" s="12" t="n">
        <v>13</v>
      </c>
      <c r="E8" s="12" t="n">
        <v>18</v>
      </c>
      <c r="F8" s="12" t="n">
        <v>23</v>
      </c>
      <c r="G8" s="12" t="n">
        <v>28</v>
      </c>
      <c r="H8" s="12" t="n">
        <v>33</v>
      </c>
      <c r="I8" s="12" t="n">
        <v>38</v>
      </c>
      <c r="J8" s="12" t="n">
        <v>43</v>
      </c>
      <c r="K8" s="12" t="n">
        <v>48</v>
      </c>
      <c r="L8" s="12" t="n">
        <v>53</v>
      </c>
      <c r="M8" s="12" t="n">
        <v>58</v>
      </c>
      <c r="N8" s="12" t="n">
        <v>58</v>
      </c>
    </row>
    <row r="9">
      <c r="A9" s="5" t="inlineStr">
        <is>
          <t>B2B Revenue</t>
        </is>
      </c>
      <c r="B9" s="10" t="n">
        <v>0</v>
      </c>
      <c r="C9" s="10" t="n">
        <v>4000</v>
      </c>
      <c r="D9" s="10" t="n">
        <v>6500</v>
      </c>
      <c r="E9" s="10" t="n">
        <v>9000</v>
      </c>
      <c r="F9" s="10" t="n">
        <v>11500</v>
      </c>
      <c r="G9" s="10" t="n">
        <v>14000</v>
      </c>
      <c r="H9" s="10" t="n">
        <v>16500</v>
      </c>
      <c r="I9" s="10" t="n">
        <v>19000</v>
      </c>
      <c r="J9" s="10" t="n">
        <v>21500</v>
      </c>
      <c r="K9" s="10" t="n">
        <v>24000</v>
      </c>
      <c r="L9" s="10" t="n">
        <v>26500</v>
      </c>
      <c r="M9" s="10" t="n">
        <v>29000</v>
      </c>
      <c r="N9" s="10" t="n">
        <v>181500</v>
      </c>
    </row>
    <row r="10">
      <c r="A10" s="7" t="inlineStr">
        <is>
          <t>Promoted Dishes Rev</t>
        </is>
      </c>
      <c r="B10" s="8" t="n">
        <v>0</v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6720</v>
      </c>
      <c r="H10" s="8" t="n">
        <v>7920</v>
      </c>
      <c r="I10" s="8" t="n">
        <v>9120</v>
      </c>
      <c r="J10" s="8" t="n">
        <v>10320</v>
      </c>
      <c r="K10" s="8" t="n">
        <v>11520</v>
      </c>
      <c r="L10" s="8" t="n">
        <v>12720</v>
      </c>
      <c r="M10" s="8" t="n">
        <v>13920</v>
      </c>
      <c r="N10" s="8" t="n">
        <v>72240</v>
      </c>
    </row>
    <row r="11">
      <c r="A11" s="5" t="inlineStr">
        <is>
          <t>Data Licensing Rev</t>
        </is>
      </c>
      <c r="B11" s="10" t="n">
        <v>0</v>
      </c>
      <c r="C11" s="10" t="n">
        <v>0</v>
      </c>
      <c r="D11" s="10" t="n">
        <v>0</v>
      </c>
      <c r="E11" s="10" t="n">
        <v>0</v>
      </c>
      <c r="F11" s="10" t="n">
        <v>0</v>
      </c>
      <c r="G11" s="10" t="n">
        <v>0</v>
      </c>
      <c r="H11" s="10" t="n">
        <v>0</v>
      </c>
      <c r="I11" s="10" t="n">
        <v>0</v>
      </c>
      <c r="J11" s="10" t="n">
        <v>0</v>
      </c>
      <c r="K11" s="10" t="n">
        <v>0</v>
      </c>
      <c r="L11" s="10" t="n">
        <v>0</v>
      </c>
      <c r="M11" s="10" t="n">
        <v>0</v>
      </c>
      <c r="N11" s="10" t="n">
        <v>0</v>
      </c>
    </row>
    <row r="12">
      <c r="A12" s="13" t="inlineStr">
        <is>
          <t>TOTAL REVENUE</t>
        </is>
      </c>
      <c r="B12" s="14" t="n">
        <v>0</v>
      </c>
      <c r="C12" s="14" t="n">
        <v>4089.82</v>
      </c>
      <c r="D12" s="14" t="n">
        <v>6609.78</v>
      </c>
      <c r="E12" s="14" t="n">
        <v>9134.73</v>
      </c>
      <c r="F12" s="14" t="n">
        <v>11669.66</v>
      </c>
      <c r="G12" s="14" t="n">
        <v>20934.57</v>
      </c>
      <c r="H12" s="14" t="n">
        <v>24689.46</v>
      </c>
      <c r="I12" s="14" t="n">
        <v>28454.33</v>
      </c>
      <c r="J12" s="14" t="n">
        <v>32239.16</v>
      </c>
      <c r="K12" s="14" t="n">
        <v>36043.95</v>
      </c>
      <c r="L12" s="14" t="n">
        <v>39878.68</v>
      </c>
      <c r="M12" s="14" t="n">
        <v>43743.35</v>
      </c>
      <c r="N12" s="14" t="n">
        <v>257487.49</v>
      </c>
    </row>
    <row r="13"/>
    <row r="14">
      <c r="A14" s="3" t="inlineStr">
        <is>
          <t>2027-2029 Quarterly Breakdown</t>
        </is>
      </c>
    </row>
    <row r="15">
      <c r="A15" s="4" t="inlineStr">
        <is>
          <t>Metric</t>
        </is>
      </c>
      <c r="B15" s="4" t="inlineStr">
        <is>
          <t>Q1-27</t>
        </is>
      </c>
      <c r="C15" s="4" t="inlineStr">
        <is>
          <t>Q2-27</t>
        </is>
      </c>
      <c r="D15" s="4" t="inlineStr">
        <is>
          <t>Q3-27</t>
        </is>
      </c>
      <c r="E15" s="4" t="inlineStr">
        <is>
          <t>Q4-27</t>
        </is>
      </c>
      <c r="F15" s="4" t="inlineStr">
        <is>
          <t>Q1-28</t>
        </is>
      </c>
      <c r="G15" s="4" t="inlineStr">
        <is>
          <t>Q2-28</t>
        </is>
      </c>
      <c r="H15" s="4" t="inlineStr">
        <is>
          <t>Q3-28</t>
        </is>
      </c>
      <c r="I15" s="4" t="inlineStr">
        <is>
          <t>Q4-28</t>
        </is>
      </c>
      <c r="J15" s="4" t="inlineStr">
        <is>
          <t>Q1-29</t>
        </is>
      </c>
      <c r="K15" s="4" t="inlineStr">
        <is>
          <t>Q2-29</t>
        </is>
      </c>
      <c r="L15" s="4" t="inlineStr">
        <is>
          <t>Q3-29</t>
        </is>
      </c>
      <c r="M15" s="4" t="inlineStr">
        <is>
          <t>Q4-29</t>
        </is>
      </c>
    </row>
    <row r="16">
      <c r="A16" s="5" t="inlineStr">
        <is>
          <t>Total Users</t>
        </is>
      </c>
      <c r="B16" s="11" t="n">
        <v>2690</v>
      </c>
      <c r="C16" s="11" t="n">
        <v>5252</v>
      </c>
      <c r="D16" s="11" t="n">
        <v>10257</v>
      </c>
      <c r="E16" s="11" t="n">
        <v>20032</v>
      </c>
      <c r="F16" s="11" t="n">
        <v>39125</v>
      </c>
      <c r="G16" s="11" t="n">
        <v>76415</v>
      </c>
      <c r="H16" s="11" t="n">
        <v>149246</v>
      </c>
      <c r="I16" s="11" t="n">
        <v>291495</v>
      </c>
      <c r="J16" s="11" t="n">
        <v>569325</v>
      </c>
      <c r="K16" s="11" t="n">
        <v>1111962</v>
      </c>
      <c r="L16" s="11" t="n">
        <v>2171800</v>
      </c>
      <c r="M16" s="11" t="n">
        <v>4241796</v>
      </c>
    </row>
    <row r="17">
      <c r="A17" s="7" t="inlineStr">
        <is>
          <t>Premium Users</t>
        </is>
      </c>
      <c r="B17" s="12" t="n">
        <v>322</v>
      </c>
      <c r="C17" s="12" t="n">
        <v>630</v>
      </c>
      <c r="D17" s="12" t="n">
        <v>1230</v>
      </c>
      <c r="E17" s="12" t="n">
        <v>2403</v>
      </c>
      <c r="F17" s="12" t="n">
        <v>4695</v>
      </c>
      <c r="G17" s="12" t="n">
        <v>9169</v>
      </c>
      <c r="H17" s="12" t="n">
        <v>17909</v>
      </c>
      <c r="I17" s="12" t="n">
        <v>34979</v>
      </c>
      <c r="J17" s="12" t="n">
        <v>68319</v>
      </c>
      <c r="K17" s="12" t="n">
        <v>133435</v>
      </c>
      <c r="L17" s="12" t="n">
        <v>260616</v>
      </c>
      <c r="M17" s="12" t="n">
        <v>509015</v>
      </c>
    </row>
    <row r="18">
      <c r="A18" s="5" t="inlineStr">
        <is>
          <t>B2C Revenue</t>
        </is>
      </c>
      <c r="B18" s="10" t="n">
        <v>4820.34</v>
      </c>
      <c r="C18" s="10" t="n">
        <v>9431.1</v>
      </c>
      <c r="D18" s="10" t="n">
        <v>18413.1</v>
      </c>
      <c r="E18" s="10" t="n">
        <v>35972.91</v>
      </c>
      <c r="F18" s="10" t="n">
        <v>70284.14999999999</v>
      </c>
      <c r="G18" s="10" t="n">
        <v>137259.93</v>
      </c>
      <c r="H18" s="10" t="n">
        <v>268097.73</v>
      </c>
      <c r="I18" s="10" t="n">
        <v>523635.63</v>
      </c>
      <c r="J18" s="10" t="n">
        <v>1022735.43</v>
      </c>
      <c r="K18" s="10" t="n">
        <v>1997521.95</v>
      </c>
      <c r="L18" s="10" t="n">
        <v>3901421.52</v>
      </c>
      <c r="M18" s="10" t="n">
        <v>7619954.55</v>
      </c>
    </row>
    <row r="19">
      <c r="A19" s="7" t="inlineStr">
        <is>
          <t>Active Restaurants</t>
        </is>
      </c>
      <c r="B19" s="12" t="n">
        <v>73</v>
      </c>
      <c r="C19" s="12" t="n">
        <v>88</v>
      </c>
      <c r="D19" s="12" t="n">
        <v>103</v>
      </c>
      <c r="E19" s="12" t="n">
        <v>118</v>
      </c>
      <c r="F19" s="12" t="n">
        <v>133</v>
      </c>
      <c r="G19" s="12" t="n">
        <v>148</v>
      </c>
      <c r="H19" s="12" t="n">
        <v>163</v>
      </c>
      <c r="I19" s="12" t="n">
        <v>178</v>
      </c>
      <c r="J19" s="12" t="n">
        <v>193</v>
      </c>
      <c r="K19" s="12" t="n">
        <v>208</v>
      </c>
      <c r="L19" s="12" t="n">
        <v>223</v>
      </c>
      <c r="M19" s="12" t="n">
        <v>238</v>
      </c>
    </row>
    <row r="20">
      <c r="A20" s="5" t="inlineStr">
        <is>
          <t>B2B Revenue</t>
        </is>
      </c>
      <c r="B20" s="10" t="n">
        <v>109500</v>
      </c>
      <c r="C20" s="10" t="n">
        <v>132000</v>
      </c>
      <c r="D20" s="10" t="n">
        <v>154500</v>
      </c>
      <c r="E20" s="10" t="n">
        <v>177000</v>
      </c>
      <c r="F20" s="10" t="n">
        <v>199500</v>
      </c>
      <c r="G20" s="10" t="n">
        <v>222000</v>
      </c>
      <c r="H20" s="10" t="n">
        <v>244500</v>
      </c>
      <c r="I20" s="10" t="n">
        <v>267000</v>
      </c>
      <c r="J20" s="10" t="n">
        <v>289500</v>
      </c>
      <c r="K20" s="10" t="n">
        <v>312000</v>
      </c>
      <c r="L20" s="10" t="n">
        <v>334500</v>
      </c>
      <c r="M20" s="10" t="n">
        <v>357000</v>
      </c>
    </row>
    <row r="21">
      <c r="A21" s="7" t="inlineStr">
        <is>
          <t>Promoted Dishes Rev</t>
        </is>
      </c>
      <c r="B21" s="8" t="n">
        <v>3600</v>
      </c>
      <c r="C21" s="8" t="n">
        <v>4392</v>
      </c>
      <c r="D21" s="8" t="n">
        <v>5358.24</v>
      </c>
      <c r="E21" s="8" t="n">
        <v>6537.05</v>
      </c>
      <c r="F21" s="8" t="n">
        <v>7975.2</v>
      </c>
      <c r="G21" s="8" t="n">
        <v>9729.75</v>
      </c>
      <c r="H21" s="8" t="n">
        <v>11870.29</v>
      </c>
      <c r="I21" s="8" t="n">
        <v>14481.76</v>
      </c>
      <c r="J21" s="8" t="n">
        <v>17667.75</v>
      </c>
      <c r="K21" s="8" t="n">
        <v>21554.65</v>
      </c>
      <c r="L21" s="8" t="n">
        <v>26296.67</v>
      </c>
      <c r="M21" s="8" t="n">
        <v>32081.94</v>
      </c>
    </row>
    <row r="22">
      <c r="A22" s="5" t="inlineStr">
        <is>
          <t>Data Licensing Rev</t>
        </is>
      </c>
      <c r="B22" s="10" t="n">
        <v>0</v>
      </c>
      <c r="C22" s="10" t="n">
        <v>0</v>
      </c>
      <c r="D22" s="10" t="n">
        <v>0</v>
      </c>
      <c r="E22" s="10" t="n">
        <v>0</v>
      </c>
      <c r="F22" s="10" t="n">
        <v>10000</v>
      </c>
      <c r="G22" s="10" t="n">
        <v>13500</v>
      </c>
      <c r="H22" s="10" t="n">
        <v>18225</v>
      </c>
      <c r="I22" s="10" t="n">
        <v>24603.75</v>
      </c>
      <c r="J22" s="10" t="n">
        <v>33215.06</v>
      </c>
      <c r="K22" s="10" t="n">
        <v>44840.33</v>
      </c>
      <c r="L22" s="10" t="n">
        <v>60534.45</v>
      </c>
      <c r="M22" s="10" t="n">
        <v>81721.50999999999</v>
      </c>
    </row>
    <row r="23">
      <c r="A23" s="13" t="inlineStr">
        <is>
          <t>TOTAL REVENUE</t>
        </is>
      </c>
      <c r="B23" s="14" t="n">
        <v>117920.34</v>
      </c>
      <c r="C23" s="14" t="n">
        <v>145823.1</v>
      </c>
      <c r="D23" s="14" t="n">
        <v>178271.34</v>
      </c>
      <c r="E23" s="14" t="n">
        <v>219509.96</v>
      </c>
      <c r="F23" s="14" t="n">
        <v>287759.35</v>
      </c>
      <c r="G23" s="14" t="n">
        <v>382489.68</v>
      </c>
      <c r="H23" s="14" t="n">
        <v>542693.02</v>
      </c>
      <c r="I23" s="14" t="n">
        <v>829721.14</v>
      </c>
      <c r="J23" s="14" t="n">
        <v>1363118.24</v>
      </c>
      <c r="K23" s="14" t="n">
        <v>2375916.93</v>
      </c>
      <c r="L23" s="14" t="n">
        <v>4322752.64</v>
      </c>
      <c r="M23" s="14" t="n">
        <v>8090758</v>
      </c>
    </row>
    <row r="24"/>
    <row r="25"/>
    <row r="26">
      <c r="A26" s="4" t="inlineStr">
        <is>
          <t>Annual Run Rate (ARR)</t>
        </is>
      </c>
      <c r="B26" s="4" t="inlineStr">
        <is>
          <t>2026</t>
        </is>
      </c>
      <c r="C26" s="4" t="inlineStr">
        <is>
          <t>2027</t>
        </is>
      </c>
      <c r="D26" s="4" t="inlineStr">
        <is>
          <t>2028</t>
        </is>
      </c>
      <c r="E26" s="4" t="inlineStr">
        <is>
          <t>2029</t>
        </is>
      </c>
    </row>
    <row r="27">
      <c r="A27" t="inlineStr">
        <is>
          <t>Total Revenue</t>
        </is>
      </c>
      <c r="B27" s="15" t="n">
        <v>257487</v>
      </c>
      <c r="C27" s="15" t="n">
        <v>661525</v>
      </c>
      <c r="D27" s="15" t="n">
        <v>2042663</v>
      </c>
      <c r="E27" s="15" t="n">
        <v>16152546</v>
      </c>
    </row>
    <row r="28">
      <c r="A28" t="inlineStr">
        <is>
          <t>ARR (exit run-rate)</t>
        </is>
      </c>
      <c r="B28" s="16" t="n">
        <v>524920</v>
      </c>
      <c r="C28" s="16" t="n">
        <v>878040</v>
      </c>
      <c r="D28" s="16" t="n">
        <v>3318885</v>
      </c>
      <c r="E28" s="16" t="n">
        <v>32363032</v>
      </c>
    </row>
    <row r="29">
      <c r="A29" t="inlineStr">
        <is>
          <t>Quarter</t>
        </is>
      </c>
      <c r="B29" t="inlineStr">
        <is>
          <t>Q1-27</t>
        </is>
      </c>
      <c r="C29" t="inlineStr">
        <is>
          <t>Q2-27</t>
        </is>
      </c>
      <c r="D29" t="inlineStr">
        <is>
          <t>Q3-27</t>
        </is>
      </c>
      <c r="E29" t="inlineStr">
        <is>
          <t>Q4-27</t>
        </is>
      </c>
      <c r="F29" t="inlineStr">
        <is>
          <t>Q1-28</t>
        </is>
      </c>
      <c r="G29" t="inlineStr">
        <is>
          <t>Q2-28</t>
        </is>
      </c>
      <c r="H29" t="inlineStr">
        <is>
          <t>Q3-28</t>
        </is>
      </c>
      <c r="I29" t="inlineStr">
        <is>
          <t>Q4-28</t>
        </is>
      </c>
      <c r="J29" t="inlineStr">
        <is>
          <t>Q1-29</t>
        </is>
      </c>
      <c r="K29" t="inlineStr">
        <is>
          <t>Q2-29</t>
        </is>
      </c>
      <c r="L29" t="inlineStr">
        <is>
          <t>Q3-29</t>
        </is>
      </c>
      <c r="M29" t="inlineStr">
        <is>
          <t>Q4-29</t>
        </is>
      </c>
    </row>
    <row r="30">
      <c r="A30" t="inlineStr">
        <is>
          <t>B2C Revenue</t>
        </is>
      </c>
      <c r="B30" t="n">
        <v>4820</v>
      </c>
      <c r="C30" t="n">
        <v>9431</v>
      </c>
      <c r="D30" t="n">
        <v>18413</v>
      </c>
      <c r="E30" t="n">
        <v>35973</v>
      </c>
      <c r="F30" t="n">
        <v>70284</v>
      </c>
      <c r="G30" t="n">
        <v>137260</v>
      </c>
      <c r="H30" t="n">
        <v>268098</v>
      </c>
      <c r="I30" t="n">
        <v>523636</v>
      </c>
      <c r="J30" t="n">
        <v>1022735</v>
      </c>
      <c r="K30" t="n">
        <v>1997522</v>
      </c>
      <c r="L30" t="n">
        <v>3901422</v>
      </c>
      <c r="M30" t="n">
        <v>7619955</v>
      </c>
    </row>
    <row r="31">
      <c r="A31" t="inlineStr">
        <is>
          <t>B2B Revenue</t>
        </is>
      </c>
      <c r="B31" t="n">
        <v>109500</v>
      </c>
      <c r="C31" t="n">
        <v>132000</v>
      </c>
      <c r="D31" t="n">
        <v>154500</v>
      </c>
      <c r="E31" t="n">
        <v>177000</v>
      </c>
      <c r="F31" t="n">
        <v>199500</v>
      </c>
      <c r="G31" t="n">
        <v>222000</v>
      </c>
      <c r="H31" t="n">
        <v>244500</v>
      </c>
      <c r="I31" t="n">
        <v>267000</v>
      </c>
      <c r="J31" t="n">
        <v>289500</v>
      </c>
      <c r="K31" t="n">
        <v>312000</v>
      </c>
      <c r="L31" t="n">
        <v>334500</v>
      </c>
      <c r="M31" t="n">
        <v>357000</v>
      </c>
    </row>
    <row r="32">
      <c r="A32" t="inlineStr">
        <is>
          <t>Data Licensing</t>
        </is>
      </c>
      <c r="B32" t="n">
        <v>0</v>
      </c>
      <c r="C32" t="n">
        <v>0</v>
      </c>
      <c r="D32" t="n">
        <v>0</v>
      </c>
      <c r="E32" t="n">
        <v>0</v>
      </c>
      <c r="F32" t="n">
        <v>10000</v>
      </c>
      <c r="G32" t="n">
        <v>13500</v>
      </c>
      <c r="H32" t="n">
        <v>18225</v>
      </c>
      <c r="I32" t="n">
        <v>24604</v>
      </c>
      <c r="J32" t="n">
        <v>33215</v>
      </c>
      <c r="K32" t="n">
        <v>44840</v>
      </c>
      <c r="L32" t="n">
        <v>60534</v>
      </c>
      <c r="M32" t="n">
        <v>81722</v>
      </c>
    </row>
    <row r="33">
      <c r="A33" t="inlineStr">
        <is>
          <t>Promoted Dishes</t>
        </is>
      </c>
      <c r="B33" t="n">
        <v>3600</v>
      </c>
      <c r="C33" t="n">
        <v>4392</v>
      </c>
      <c r="D33" t="n">
        <v>5358</v>
      </c>
      <c r="E33" t="n">
        <v>6537</v>
      </c>
      <c r="F33" t="n">
        <v>7975</v>
      </c>
      <c r="G33" t="n">
        <v>9730</v>
      </c>
      <c r="H33" t="n">
        <v>11870</v>
      </c>
      <c r="I33" t="n">
        <v>14482</v>
      </c>
      <c r="J33" t="n">
        <v>17668</v>
      </c>
      <c r="K33" t="n">
        <v>21555</v>
      </c>
      <c r="L33" t="n">
        <v>26297</v>
      </c>
      <c r="M33" t="n">
        <v>32082</v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FORK Cost Structure -- Aggressive / Upside</t>
        </is>
      </c>
    </row>
    <row r="2"/>
    <row r="3">
      <c r="A3" s="3" t="inlineStr">
        <is>
          <t>2026 Monthly Costs</t>
        </is>
      </c>
    </row>
    <row r="4">
      <c r="A4" s="4" t="inlineStr">
        <is>
          <t>Cost Category</t>
        </is>
      </c>
      <c r="B4" s="4" t="inlineStr">
        <is>
          <t>Jan-26</t>
        </is>
      </c>
      <c r="C4" s="4" t="inlineStr">
        <is>
          <t>Feb-26</t>
        </is>
      </c>
      <c r="D4" s="4" t="inlineStr">
        <is>
          <t>Mar-26</t>
        </is>
      </c>
      <c r="E4" s="4" t="inlineStr">
        <is>
          <t>Apr-26</t>
        </is>
      </c>
      <c r="F4" s="4" t="inlineStr">
        <is>
          <t>May-26</t>
        </is>
      </c>
      <c r="G4" s="4" t="inlineStr">
        <is>
          <t>Jun-26</t>
        </is>
      </c>
      <c r="H4" s="4" t="inlineStr">
        <is>
          <t>Jul-26</t>
        </is>
      </c>
      <c r="I4" s="4" t="inlineStr">
        <is>
          <t>Aug-26</t>
        </is>
      </c>
      <c r="J4" s="4" t="inlineStr">
        <is>
          <t>Sep-26</t>
        </is>
      </c>
      <c r="K4" s="4" t="inlineStr">
        <is>
          <t>Oct-26</t>
        </is>
      </c>
      <c r="L4" s="4" t="inlineStr">
        <is>
          <t>Nov-26</t>
        </is>
      </c>
      <c r="M4" s="4" t="inlineStr">
        <is>
          <t>Dec-26</t>
        </is>
      </c>
      <c r="N4" s="4" t="inlineStr">
        <is>
          <t>2026 Total</t>
        </is>
      </c>
    </row>
    <row r="5">
      <c r="A5" s="5" t="inlineStr">
        <is>
          <t>Engineering</t>
        </is>
      </c>
      <c r="B5" s="10" t="n">
        <v>22000</v>
      </c>
      <c r="C5" s="10" t="n">
        <v>22000</v>
      </c>
      <c r="D5" s="10" t="n">
        <v>22000</v>
      </c>
      <c r="E5" s="10" t="n">
        <v>22000</v>
      </c>
      <c r="F5" s="10" t="n">
        <v>22000</v>
      </c>
      <c r="G5" s="10" t="n">
        <v>22000</v>
      </c>
      <c r="H5" s="10" t="n">
        <v>22000</v>
      </c>
      <c r="I5" s="10" t="n">
        <v>22000</v>
      </c>
      <c r="J5" s="10" t="n">
        <v>22000</v>
      </c>
      <c r="K5" s="10" t="n">
        <v>22000</v>
      </c>
      <c r="L5" s="10" t="n">
        <v>22000</v>
      </c>
      <c r="M5" s="10" t="n">
        <v>22000</v>
      </c>
      <c r="N5" s="10" t="n">
        <v>264000</v>
      </c>
    </row>
    <row r="6">
      <c r="A6" s="7" t="inlineStr">
        <is>
          <t>Cloud / Infrastructure</t>
        </is>
      </c>
      <c r="B6" s="8" t="n">
        <v>800</v>
      </c>
      <c r="C6" s="8" t="n">
        <v>809</v>
      </c>
      <c r="D6" s="8" t="n">
        <v>811</v>
      </c>
      <c r="E6" s="8" t="n">
        <v>814</v>
      </c>
      <c r="F6" s="8" t="n">
        <v>817</v>
      </c>
      <c r="G6" s="8" t="n">
        <v>822</v>
      </c>
      <c r="H6" s="8" t="n">
        <v>827</v>
      </c>
      <c r="I6" s="8" t="n">
        <v>834</v>
      </c>
      <c r="J6" s="8" t="n">
        <v>842</v>
      </c>
      <c r="K6" s="8" t="n">
        <v>853</v>
      </c>
      <c r="L6" s="8" t="n">
        <v>866</v>
      </c>
      <c r="M6" s="8" t="n">
        <v>883</v>
      </c>
      <c r="N6" s="8" t="n">
        <v>9979</v>
      </c>
    </row>
    <row r="7">
      <c r="A7" s="5" t="inlineStr">
        <is>
          <t>Marketing</t>
        </is>
      </c>
      <c r="B7" s="10" t="n">
        <v>7000</v>
      </c>
      <c r="C7" s="10" t="n">
        <v>7000</v>
      </c>
      <c r="D7" s="10" t="n">
        <v>7000</v>
      </c>
      <c r="E7" s="10" t="n">
        <v>7500</v>
      </c>
      <c r="F7" s="10" t="n">
        <v>8000</v>
      </c>
      <c r="G7" s="10" t="n">
        <v>8500</v>
      </c>
      <c r="H7" s="10" t="n">
        <v>9000</v>
      </c>
      <c r="I7" s="10" t="n">
        <v>9500</v>
      </c>
      <c r="J7" s="10" t="n">
        <v>10000</v>
      </c>
      <c r="K7" s="10" t="n">
        <v>10500</v>
      </c>
      <c r="L7" s="10" t="n">
        <v>11000</v>
      </c>
      <c r="M7" s="10" t="n">
        <v>11500</v>
      </c>
      <c r="N7" s="10" t="n">
        <v>106500</v>
      </c>
    </row>
    <row r="8">
      <c r="A8" s="7" t="inlineStr">
        <is>
          <t>Legal / IP</t>
        </is>
      </c>
      <c r="B8" s="8" t="n">
        <v>2500</v>
      </c>
      <c r="C8" s="8" t="n">
        <v>2500</v>
      </c>
      <c r="D8" s="8" t="n">
        <v>2500</v>
      </c>
      <c r="E8" s="8" t="n">
        <v>2500</v>
      </c>
      <c r="F8" s="8" t="n">
        <v>2500</v>
      </c>
      <c r="G8" s="8" t="n">
        <v>2500</v>
      </c>
      <c r="H8" s="8" t="n">
        <v>2500</v>
      </c>
      <c r="I8" s="8" t="n">
        <v>2500</v>
      </c>
      <c r="J8" s="8" t="n">
        <v>2500</v>
      </c>
      <c r="K8" s="8" t="n">
        <v>2500</v>
      </c>
      <c r="L8" s="8" t="n">
        <v>2500</v>
      </c>
      <c r="M8" s="8" t="n">
        <v>2500</v>
      </c>
      <c r="N8" s="8" t="n">
        <v>30000</v>
      </c>
    </row>
    <row r="9">
      <c r="A9" s="5" t="inlineStr">
        <is>
          <t>Operations</t>
        </is>
      </c>
      <c r="B9" s="10" t="n">
        <v>3000</v>
      </c>
      <c r="C9" s="10" t="n">
        <v>3000</v>
      </c>
      <c r="D9" s="10" t="n">
        <v>3000</v>
      </c>
      <c r="E9" s="10" t="n">
        <v>3000</v>
      </c>
      <c r="F9" s="10" t="n">
        <v>3000</v>
      </c>
      <c r="G9" s="10" t="n">
        <v>3000</v>
      </c>
      <c r="H9" s="10" t="n">
        <v>3000</v>
      </c>
      <c r="I9" s="10" t="n">
        <v>3000</v>
      </c>
      <c r="J9" s="10" t="n">
        <v>3000</v>
      </c>
      <c r="K9" s="10" t="n">
        <v>3000</v>
      </c>
      <c r="L9" s="10" t="n">
        <v>3000</v>
      </c>
      <c r="M9" s="10" t="n">
        <v>3000</v>
      </c>
      <c r="N9" s="10" t="n">
        <v>36000</v>
      </c>
    </row>
    <row r="10">
      <c r="A10" s="7" t="inlineStr">
        <is>
          <t>TOTAL COSTS</t>
        </is>
      </c>
      <c r="B10" s="8" t="n">
        <v>35300</v>
      </c>
      <c r="C10" s="8" t="n">
        <v>35309</v>
      </c>
      <c r="D10" s="8" t="n">
        <v>35311</v>
      </c>
      <c r="E10" s="8" t="n">
        <v>35814</v>
      </c>
      <c r="F10" s="8" t="n">
        <v>36317</v>
      </c>
      <c r="G10" s="8" t="n">
        <v>36822</v>
      </c>
      <c r="H10" s="8" t="n">
        <v>37327</v>
      </c>
      <c r="I10" s="8" t="n">
        <v>37834</v>
      </c>
      <c r="J10" s="8" t="n">
        <v>38342</v>
      </c>
      <c r="K10" s="8" t="n">
        <v>38853</v>
      </c>
      <c r="L10" s="8" t="n">
        <v>39366</v>
      </c>
      <c r="M10" s="8" t="n">
        <v>39883</v>
      </c>
      <c r="N10" s="8" t="n">
        <v>446479</v>
      </c>
    </row>
    <row r="11">
      <c r="A11" s="9" t="inlineStr">
        <is>
          <t>NET (Revenue - Costs)</t>
        </is>
      </c>
      <c r="B11" s="6" t="n">
        <v>-35300</v>
      </c>
      <c r="C11" s="6" t="n">
        <v>-31219</v>
      </c>
      <c r="D11" s="6" t="n">
        <v>-28701</v>
      </c>
      <c r="E11" s="6" t="n">
        <v>-26679</v>
      </c>
      <c r="F11" s="6" t="n">
        <v>-24648</v>
      </c>
      <c r="G11" s="6" t="n">
        <v>-15887</v>
      </c>
      <c r="H11" s="6" t="n">
        <v>-12638</v>
      </c>
      <c r="I11" s="6" t="n">
        <v>-9380</v>
      </c>
      <c r="J11" s="6" t="n">
        <v>-6103</v>
      </c>
      <c r="K11" s="6" t="n">
        <v>-2809</v>
      </c>
      <c r="L11" s="6" t="n">
        <v>512</v>
      </c>
      <c r="M11" s="6" t="n">
        <v>3861</v>
      </c>
      <c r="N11" s="6" t="n">
        <v>-188991</v>
      </c>
    </row>
    <row r="12"/>
    <row r="13">
      <c r="A13" s="3" t="inlineStr">
        <is>
          <t>2027-2029 Quarterly Costs</t>
        </is>
      </c>
    </row>
    <row r="14">
      <c r="A14" s="4" t="inlineStr">
        <is>
          <t>Cost Category</t>
        </is>
      </c>
      <c r="B14" s="4" t="inlineStr">
        <is>
          <t>Q1-27</t>
        </is>
      </c>
      <c r="C14" s="4" t="inlineStr">
        <is>
          <t>Q2-27</t>
        </is>
      </c>
      <c r="D14" s="4" t="inlineStr">
        <is>
          <t>Q3-27</t>
        </is>
      </c>
      <c r="E14" s="4" t="inlineStr">
        <is>
          <t>Q4-27</t>
        </is>
      </c>
      <c r="F14" s="4" t="inlineStr">
        <is>
          <t>Q1-28</t>
        </is>
      </c>
      <c r="G14" s="4" t="inlineStr">
        <is>
          <t>Q2-28</t>
        </is>
      </c>
      <c r="H14" s="4" t="inlineStr">
        <is>
          <t>Q3-28</t>
        </is>
      </c>
      <c r="I14" s="4" t="inlineStr">
        <is>
          <t>Q4-28</t>
        </is>
      </c>
      <c r="J14" s="4" t="inlineStr">
        <is>
          <t>Q1-29</t>
        </is>
      </c>
      <c r="K14" s="4" t="inlineStr">
        <is>
          <t>Q2-29</t>
        </is>
      </c>
      <c r="L14" s="4" t="inlineStr">
        <is>
          <t>Q3-29</t>
        </is>
      </c>
      <c r="M14" s="4" t="inlineStr">
        <is>
          <t>Q4-29</t>
        </is>
      </c>
    </row>
    <row r="15">
      <c r="A15" s="5" t="inlineStr">
        <is>
          <t>Engineering</t>
        </is>
      </c>
      <c r="B15" s="10" t="n">
        <v>66000</v>
      </c>
      <c r="C15" s="10" t="n">
        <v>66000</v>
      </c>
      <c r="D15" s="10" t="n">
        <v>66000</v>
      </c>
      <c r="E15" s="10" t="n">
        <v>66000</v>
      </c>
      <c r="F15" s="10" t="n">
        <v>112200</v>
      </c>
      <c r="G15" s="10" t="n">
        <v>112200</v>
      </c>
      <c r="H15" s="10" t="n">
        <v>112200</v>
      </c>
      <c r="I15" s="10" t="n">
        <v>112200</v>
      </c>
      <c r="J15" s="10" t="n">
        <v>158400</v>
      </c>
      <c r="K15" s="10" t="n">
        <v>158400</v>
      </c>
      <c r="L15" s="10" t="n">
        <v>158400</v>
      </c>
      <c r="M15" s="10" t="n">
        <v>158400</v>
      </c>
    </row>
    <row r="16">
      <c r="A16" s="7" t="inlineStr">
        <is>
          <t>Cloud / Infrastructure</t>
        </is>
      </c>
      <c r="B16" s="8" t="n">
        <v>2884</v>
      </c>
      <c r="C16" s="8" t="n">
        <v>3345</v>
      </c>
      <c r="D16" s="8" t="n">
        <v>4246</v>
      </c>
      <c r="E16" s="8" t="n">
        <v>6006</v>
      </c>
      <c r="F16" s="8" t="n">
        <v>9442</v>
      </c>
      <c r="G16" s="8" t="n">
        <v>16155</v>
      </c>
      <c r="H16" s="8" t="n">
        <v>29264</v>
      </c>
      <c r="I16" s="8" t="n">
        <v>54869</v>
      </c>
      <c r="J16" s="8" t="n">
        <v>104878</v>
      </c>
      <c r="K16" s="8" t="n">
        <v>202553</v>
      </c>
      <c r="L16" s="8" t="n">
        <v>393324</v>
      </c>
      <c r="M16" s="8" t="n">
        <v>765923</v>
      </c>
    </row>
    <row r="17">
      <c r="A17" s="5" t="inlineStr">
        <is>
          <t>Marketing</t>
        </is>
      </c>
      <c r="B17" s="10" t="n">
        <v>21000</v>
      </c>
      <c r="C17" s="10" t="n">
        <v>21000</v>
      </c>
      <c r="D17" s="10" t="n">
        <v>21000</v>
      </c>
      <c r="E17" s="10" t="n">
        <v>21000</v>
      </c>
      <c r="F17" s="10" t="n">
        <v>37800</v>
      </c>
      <c r="G17" s="10" t="n">
        <v>37800</v>
      </c>
      <c r="H17" s="10" t="n">
        <v>37800</v>
      </c>
      <c r="I17" s="10" t="n">
        <v>37800</v>
      </c>
      <c r="J17" s="10" t="n">
        <v>54600</v>
      </c>
      <c r="K17" s="10" t="n">
        <v>54600</v>
      </c>
      <c r="L17" s="10" t="n">
        <v>54600</v>
      </c>
      <c r="M17" s="10" t="n">
        <v>54600</v>
      </c>
    </row>
    <row r="18">
      <c r="A18" s="7" t="inlineStr">
        <is>
          <t>Legal / IP</t>
        </is>
      </c>
      <c r="B18" s="8" t="n">
        <v>7500</v>
      </c>
      <c r="C18" s="8" t="n">
        <v>7500</v>
      </c>
      <c r="D18" s="8" t="n">
        <v>7500</v>
      </c>
      <c r="E18" s="8" t="n">
        <v>7500</v>
      </c>
      <c r="F18" s="8" t="n">
        <v>7500</v>
      </c>
      <c r="G18" s="8" t="n">
        <v>7500</v>
      </c>
      <c r="H18" s="8" t="n">
        <v>7500</v>
      </c>
      <c r="I18" s="8" t="n">
        <v>7500</v>
      </c>
      <c r="J18" s="8" t="n">
        <v>7500</v>
      </c>
      <c r="K18" s="8" t="n">
        <v>7500</v>
      </c>
      <c r="L18" s="8" t="n">
        <v>7500</v>
      </c>
      <c r="M18" s="8" t="n">
        <v>7500</v>
      </c>
    </row>
    <row r="19">
      <c r="A19" s="5" t="inlineStr">
        <is>
          <t>Operations</t>
        </is>
      </c>
      <c r="B19" s="10" t="n">
        <v>9000</v>
      </c>
      <c r="C19" s="10" t="n">
        <v>9000</v>
      </c>
      <c r="D19" s="10" t="n">
        <v>9000</v>
      </c>
      <c r="E19" s="10" t="n">
        <v>9000</v>
      </c>
      <c r="F19" s="10" t="n">
        <v>11700</v>
      </c>
      <c r="G19" s="10" t="n">
        <v>11700</v>
      </c>
      <c r="H19" s="10" t="n">
        <v>11700</v>
      </c>
      <c r="I19" s="10" t="n">
        <v>11700</v>
      </c>
      <c r="J19" s="10" t="n">
        <v>14400</v>
      </c>
      <c r="K19" s="10" t="n">
        <v>14400</v>
      </c>
      <c r="L19" s="10" t="n">
        <v>14400</v>
      </c>
      <c r="M19" s="10" t="n">
        <v>14400</v>
      </c>
    </row>
    <row r="20">
      <c r="A20" s="7" t="inlineStr">
        <is>
          <t>TOTAL COSTS</t>
        </is>
      </c>
      <c r="B20" s="8" t="n">
        <v>106384</v>
      </c>
      <c r="C20" s="8" t="n">
        <v>106845</v>
      </c>
      <c r="D20" s="8" t="n">
        <v>107746</v>
      </c>
      <c r="E20" s="8" t="n">
        <v>109506</v>
      </c>
      <c r="F20" s="8" t="n">
        <v>178642</v>
      </c>
      <c r="G20" s="8" t="n">
        <v>185355</v>
      </c>
      <c r="H20" s="8" t="n">
        <v>198464</v>
      </c>
      <c r="I20" s="8" t="n">
        <v>224069</v>
      </c>
      <c r="J20" s="8" t="n">
        <v>339778</v>
      </c>
      <c r="K20" s="8" t="n">
        <v>437453</v>
      </c>
      <c r="L20" s="8" t="n">
        <v>628224</v>
      </c>
      <c r="M20" s="8" t="n">
        <v>1000823</v>
      </c>
    </row>
    <row r="21">
      <c r="A21" s="9" t="inlineStr">
        <is>
          <t>NET (Revenue - Costs)</t>
        </is>
      </c>
      <c r="B21" s="6" t="n">
        <v>11536</v>
      </c>
      <c r="C21" s="6" t="n">
        <v>38978</v>
      </c>
      <c r="D21" s="6" t="n">
        <v>70525</v>
      </c>
      <c r="E21" s="6" t="n">
        <v>110004</v>
      </c>
      <c r="F21" s="6" t="n">
        <v>109117</v>
      </c>
      <c r="G21" s="6" t="n">
        <v>197135</v>
      </c>
      <c r="H21" s="6" t="n">
        <v>344229</v>
      </c>
      <c r="I21" s="6" t="n">
        <v>605652</v>
      </c>
      <c r="J21" s="6" t="n">
        <v>1023340</v>
      </c>
      <c r="K21" s="6" t="n">
        <v>1938464</v>
      </c>
      <c r="L21" s="6" t="n">
        <v>3694529</v>
      </c>
      <c r="M21" s="6" t="n">
        <v>7089935</v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23" customWidth="1" min="3" max="3"/>
    <col width="26" customWidth="1" min="4" max="4"/>
    <col width="18" customWidth="1" min="5" max="5"/>
  </cols>
  <sheetData>
    <row r="1">
      <c r="A1" s="1" t="inlineStr">
        <is>
          <t>FORK Unit Economics -- Aggressive / Upside</t>
        </is>
      </c>
    </row>
    <row r="2"/>
    <row r="3">
      <c r="A3" s="4" t="inlineStr">
        <is>
          <t>Metric</t>
        </is>
      </c>
      <c r="B3" s="4" t="inlineStr">
        <is>
          <t>B2C (Consumer)</t>
        </is>
      </c>
      <c r="C3" s="4" t="inlineStr">
        <is>
          <t>B2B (Restaurant SaaS)</t>
        </is>
      </c>
      <c r="D3" s="4" t="inlineStr">
        <is>
          <t>Notes</t>
        </is>
      </c>
    </row>
    <row r="4">
      <c r="A4" s="5" t="inlineStr">
        <is>
          <t>Monthly ARPU</t>
        </is>
      </c>
      <c r="B4" s="5" t="inlineStr">
        <is>
          <t>$4.99</t>
        </is>
      </c>
      <c r="C4" s="5" t="inlineStr">
        <is>
          <t>$500</t>
        </is>
      </c>
      <c r="D4" s="5" t="inlineStr">
        <is>
          <t>Revenue per user/account</t>
        </is>
      </c>
    </row>
    <row r="5">
      <c r="A5" s="7" t="inlineStr">
        <is>
          <t>Customer Acquisition Cost (CAC)</t>
        </is>
      </c>
      <c r="B5" s="7" t="inlineStr">
        <is>
          <t>$5</t>
        </is>
      </c>
      <c r="C5" s="7" t="inlineStr">
        <is>
          <t>$1,800</t>
        </is>
      </c>
      <c r="D5" s="7" t="inlineStr">
        <is>
          <t>Blended cost</t>
        </is>
      </c>
    </row>
    <row r="6">
      <c r="A6" s="5" t="inlineStr">
        <is>
          <t>Avg Lifetime (months)</t>
        </is>
      </c>
      <c r="B6" s="5" t="n">
        <v>18</v>
      </c>
      <c r="C6" s="5" t="n">
        <v>36</v>
      </c>
      <c r="D6" s="5" t="inlineStr">
        <is>
          <t>Before churn</t>
        </is>
      </c>
    </row>
    <row r="7">
      <c r="A7" s="7" t="inlineStr">
        <is>
          <t>Gross Margin</t>
        </is>
      </c>
      <c r="B7" s="7" t="inlineStr">
        <is>
          <t>90%</t>
        </is>
      </c>
      <c r="C7" s="7" t="inlineStr">
        <is>
          <t>80%</t>
        </is>
      </c>
      <c r="D7" s="7" t="inlineStr">
        <is>
          <t>After COGS</t>
        </is>
      </c>
    </row>
    <row r="8">
      <c r="A8" s="5" t="inlineStr">
        <is>
          <t>Lifetime Value (LTV)</t>
        </is>
      </c>
      <c r="B8" s="5" t="inlineStr">
        <is>
          <t>$81</t>
        </is>
      </c>
      <c r="C8" s="5" t="inlineStr">
        <is>
          <t>$14,400</t>
        </is>
      </c>
      <c r="D8" s="5" t="inlineStr">
        <is>
          <t>ARPU x Lifetime x Margin</t>
        </is>
      </c>
    </row>
    <row r="9">
      <c r="A9" s="13" t="inlineStr">
        <is>
          <t>LTV / CAC Ratio</t>
        </is>
      </c>
      <c r="B9" s="13" t="inlineStr">
        <is>
          <t>16.2x</t>
        </is>
      </c>
      <c r="C9" s="13" t="inlineStr">
        <is>
          <t>8.0x</t>
        </is>
      </c>
      <c r="D9" s="13" t="inlineStr">
        <is>
          <t>Target: &gt;3x</t>
        </is>
      </c>
    </row>
    <row r="10">
      <c r="A10" s="5" t="inlineStr">
        <is>
          <t>Payback Period (months)</t>
        </is>
      </c>
      <c r="B10" s="5" t="inlineStr">
        <is>
          <t>1.1</t>
        </is>
      </c>
      <c r="C10" s="5" t="inlineStr">
        <is>
          <t>4.5</t>
        </is>
      </c>
      <c r="D10" s="5" t="inlineStr">
        <is>
          <t>CAC / (ARPU x Margin)</t>
        </is>
      </c>
    </row>
    <row r="11">
      <c r="A11" s="7" t="inlineStr"/>
      <c r="B11" s="7" t="inlineStr"/>
      <c r="C11" s="7" t="inlineStr"/>
      <c r="D11" s="7" t="inlineStr"/>
    </row>
    <row r="12">
      <c r="A12" s="5" t="inlineStr">
        <is>
          <t>Revenue per Restaurant</t>
        </is>
      </c>
      <c r="B12" s="5" t="inlineStr">
        <is>
          <t>--</t>
        </is>
      </c>
      <c r="C12" s="5" t="inlineStr">
        <is>
          <t>$6,000/yr</t>
        </is>
      </c>
      <c r="D12" s="5" t="inlineStr">
        <is>
          <t>SaaS subscription</t>
        </is>
      </c>
    </row>
    <row r="13">
      <c r="A13" s="7" t="inlineStr">
        <is>
          <t>Expansion Revenue Potential</t>
        </is>
      </c>
      <c r="B13" s="7" t="inlineStr">
        <is>
          <t>Upsell tiers</t>
        </is>
      </c>
      <c r="C13" s="7" t="inlineStr">
        <is>
          <t>Data add-ons</t>
        </is>
      </c>
      <c r="D13" s="7" t="inlineStr">
        <is>
          <t>Future ARPU growth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47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FORK Funding &amp; Runway -- Aggressive / Upside</t>
        </is>
      </c>
    </row>
    <row r="2"/>
    <row r="3">
      <c r="A3" s="3" t="inlineStr">
        <is>
          <t>Funding Round Summary</t>
        </is>
      </c>
    </row>
    <row r="4">
      <c r="A4" s="3" t="inlineStr">
        <is>
          <t>Raise Amount</t>
        </is>
      </c>
      <c r="B4" s="15" t="n">
        <v>1500000</v>
      </c>
    </row>
    <row r="5">
      <c r="A5" s="3" t="inlineStr">
        <is>
          <t>Pre-Money Valuation</t>
        </is>
      </c>
      <c r="B5" s="15" t="n">
        <v>6000000</v>
      </c>
    </row>
    <row r="6">
      <c r="A6" s="3" t="inlineStr">
        <is>
          <t>Post-Money Valuation</t>
        </is>
      </c>
      <c r="B6" s="15" t="n">
        <v>7500000</v>
      </c>
    </row>
    <row r="7">
      <c r="A7" s="3" t="inlineStr">
        <is>
          <t>Investor Ownership</t>
        </is>
      </c>
      <c r="B7" s="17" t="n">
        <v>20</v>
      </c>
    </row>
    <row r="8">
      <c r="A8" s="3" t="inlineStr"/>
      <c r="B8" t="inlineStr"/>
    </row>
    <row r="9">
      <c r="A9" s="3" t="inlineStr">
        <is>
          <t>2026 Monthly Cash Position</t>
        </is>
      </c>
    </row>
    <row r="10">
      <c r="A10" s="4" t="inlineStr">
        <is>
          <t>Month</t>
        </is>
      </c>
      <c r="B10" s="4" t="inlineStr">
        <is>
          <t>Revenue</t>
        </is>
      </c>
      <c r="C10" s="4" t="inlineStr">
        <is>
          <t>Costs</t>
        </is>
      </c>
      <c r="D10" s="4" t="inlineStr">
        <is>
          <t>Net</t>
        </is>
      </c>
      <c r="E10" s="4" t="inlineStr">
        <is>
          <t>Cash Balance</t>
        </is>
      </c>
    </row>
    <row r="11">
      <c r="A11" s="5" t="inlineStr">
        <is>
          <t>Jan-26</t>
        </is>
      </c>
      <c r="B11" s="10" t="n">
        <v>0</v>
      </c>
      <c r="C11" s="10" t="n">
        <v>35300</v>
      </c>
      <c r="D11" s="10" t="n">
        <v>-35300</v>
      </c>
      <c r="E11" s="10" t="n">
        <v>1464700</v>
      </c>
    </row>
    <row r="12">
      <c r="A12" s="7" t="inlineStr">
        <is>
          <t>Feb-26</t>
        </is>
      </c>
      <c r="B12" s="8" t="n">
        <v>4090</v>
      </c>
      <c r="C12" s="8" t="n">
        <v>35309</v>
      </c>
      <c r="D12" s="8" t="n">
        <v>-31219</v>
      </c>
      <c r="E12" s="8" t="n">
        <v>1433481</v>
      </c>
    </row>
    <row r="13">
      <c r="A13" s="5" t="inlineStr">
        <is>
          <t>Mar-26</t>
        </is>
      </c>
      <c r="B13" s="10" t="n">
        <v>6610</v>
      </c>
      <c r="C13" s="10" t="n">
        <v>35311</v>
      </c>
      <c r="D13" s="10" t="n">
        <v>-28701</v>
      </c>
      <c r="E13" s="10" t="n">
        <v>1404779</v>
      </c>
    </row>
    <row r="14">
      <c r="A14" s="7" t="inlineStr">
        <is>
          <t>Apr-26</t>
        </is>
      </c>
      <c r="B14" s="8" t="n">
        <v>9135</v>
      </c>
      <c r="C14" s="8" t="n">
        <v>35814</v>
      </c>
      <c r="D14" s="8" t="n">
        <v>-26679</v>
      </c>
      <c r="E14" s="8" t="n">
        <v>1378100</v>
      </c>
    </row>
    <row r="15">
      <c r="A15" s="5" t="inlineStr">
        <is>
          <t>May-26</t>
        </is>
      </c>
      <c r="B15" s="10" t="n">
        <v>11670</v>
      </c>
      <c r="C15" s="10" t="n">
        <v>36317</v>
      </c>
      <c r="D15" s="10" t="n">
        <v>-24648</v>
      </c>
      <c r="E15" s="10" t="n">
        <v>1353452</v>
      </c>
    </row>
    <row r="16">
      <c r="A16" s="7" t="inlineStr">
        <is>
          <t>Jun-26</t>
        </is>
      </c>
      <c r="B16" s="8" t="n">
        <v>20935</v>
      </c>
      <c r="C16" s="8" t="n">
        <v>36822</v>
      </c>
      <c r="D16" s="8" t="n">
        <v>-15887</v>
      </c>
      <c r="E16" s="8" t="n">
        <v>1337565</v>
      </c>
    </row>
    <row r="17">
      <c r="A17" s="5" t="inlineStr">
        <is>
          <t>Jul-26</t>
        </is>
      </c>
      <c r="B17" s="10" t="n">
        <v>24689</v>
      </c>
      <c r="C17" s="10" t="n">
        <v>37327</v>
      </c>
      <c r="D17" s="10" t="n">
        <v>-12638</v>
      </c>
      <c r="E17" s="10" t="n">
        <v>1324927</v>
      </c>
    </row>
    <row r="18">
      <c r="A18" s="7" t="inlineStr">
        <is>
          <t>Aug-26</t>
        </is>
      </c>
      <c r="B18" s="8" t="n">
        <v>28454</v>
      </c>
      <c r="C18" s="8" t="n">
        <v>37834</v>
      </c>
      <c r="D18" s="8" t="n">
        <v>-9380</v>
      </c>
      <c r="E18" s="8" t="n">
        <v>1315548</v>
      </c>
    </row>
    <row r="19">
      <c r="A19" s="5" t="inlineStr">
        <is>
          <t>Sep-26</t>
        </is>
      </c>
      <c r="B19" s="10" t="n">
        <v>32239</v>
      </c>
      <c r="C19" s="10" t="n">
        <v>38342</v>
      </c>
      <c r="D19" s="10" t="n">
        <v>-6103</v>
      </c>
      <c r="E19" s="10" t="n">
        <v>1309445</v>
      </c>
    </row>
    <row r="20">
      <c r="A20" s="7" t="inlineStr">
        <is>
          <t>Oct-26</t>
        </is>
      </c>
      <c r="B20" s="8" t="n">
        <v>36044</v>
      </c>
      <c r="C20" s="8" t="n">
        <v>38853</v>
      </c>
      <c r="D20" s="8" t="n">
        <v>-2809</v>
      </c>
      <c r="E20" s="8" t="n">
        <v>1306635</v>
      </c>
    </row>
    <row r="21">
      <c r="A21" s="5" t="inlineStr">
        <is>
          <t>Nov-26</t>
        </is>
      </c>
      <c r="B21" s="10" t="n">
        <v>39879</v>
      </c>
      <c r="C21" s="10" t="n">
        <v>39366</v>
      </c>
      <c r="D21" s="10" t="n">
        <v>512</v>
      </c>
      <c r="E21" s="10" t="n">
        <v>1307148</v>
      </c>
    </row>
    <row r="22">
      <c r="A22" s="7" t="inlineStr">
        <is>
          <t>Dec-26</t>
        </is>
      </c>
      <c r="B22" s="8" t="n">
        <v>43743</v>
      </c>
      <c r="C22" s="8" t="n">
        <v>39883</v>
      </c>
      <c r="D22" s="8" t="n">
        <v>3861</v>
      </c>
      <c r="E22" s="8" t="n">
        <v>1311009</v>
      </c>
    </row>
    <row r="23">
      <c r="A23" s="3" t="inlineStr">
        <is>
          <t>2027-2029 Quarterly Cash Position</t>
        </is>
      </c>
    </row>
    <row r="24">
      <c r="A24" s="4" t="inlineStr">
        <is>
          <t>Quarter</t>
        </is>
      </c>
      <c r="B24" s="4" t="inlineStr">
        <is>
          <t>Revenue</t>
        </is>
      </c>
      <c r="C24" s="4" t="inlineStr">
        <is>
          <t>Costs</t>
        </is>
      </c>
      <c r="D24" s="4" t="inlineStr">
        <is>
          <t>Net</t>
        </is>
      </c>
      <c r="E24" s="4" t="inlineStr">
        <is>
          <t>Cash Balance</t>
        </is>
      </c>
    </row>
    <row r="25">
      <c r="A25" s="5" t="inlineStr">
        <is>
          <t>Q1-27</t>
        </is>
      </c>
      <c r="B25" s="10" t="n">
        <v>117920</v>
      </c>
      <c r="C25" s="10" t="n">
        <v>106384</v>
      </c>
      <c r="D25" s="10" t="n">
        <v>11536</v>
      </c>
      <c r="E25" s="10" t="n">
        <v>1322545</v>
      </c>
    </row>
    <row r="26">
      <c r="A26" s="7" t="inlineStr">
        <is>
          <t>Q2-27</t>
        </is>
      </c>
      <c r="B26" s="8" t="n">
        <v>145823</v>
      </c>
      <c r="C26" s="8" t="n">
        <v>106845</v>
      </c>
      <c r="D26" s="8" t="n">
        <v>38978</v>
      </c>
      <c r="E26" s="8" t="n">
        <v>1361523</v>
      </c>
    </row>
    <row r="27">
      <c r="A27" s="5" t="inlineStr">
        <is>
          <t>Q3-27</t>
        </is>
      </c>
      <c r="B27" s="10" t="n">
        <v>178271</v>
      </c>
      <c r="C27" s="10" t="n">
        <v>107746</v>
      </c>
      <c r="D27" s="10" t="n">
        <v>70525</v>
      </c>
      <c r="E27" s="10" t="n">
        <v>1432048</v>
      </c>
    </row>
    <row r="28">
      <c r="A28" s="7" t="inlineStr">
        <is>
          <t>Q4-27</t>
        </is>
      </c>
      <c r="B28" s="8" t="n">
        <v>219510</v>
      </c>
      <c r="C28" s="8" t="n">
        <v>109506</v>
      </c>
      <c r="D28" s="8" t="n">
        <v>110004</v>
      </c>
      <c r="E28" s="8" t="n">
        <v>1542052</v>
      </c>
    </row>
    <row r="29">
      <c r="A29" s="5" t="inlineStr">
        <is>
          <t>Q1-28</t>
        </is>
      </c>
      <c r="B29" s="10" t="n">
        <v>287759</v>
      </c>
      <c r="C29" s="10" t="n">
        <v>178642</v>
      </c>
      <c r="D29" s="10" t="n">
        <v>109117</v>
      </c>
      <c r="E29" s="10" t="n">
        <v>1651169</v>
      </c>
    </row>
    <row r="30">
      <c r="A30" s="7" t="inlineStr">
        <is>
          <t>Q2-28</t>
        </is>
      </c>
      <c r="B30" s="8" t="n">
        <v>382490</v>
      </c>
      <c r="C30" s="8" t="n">
        <v>185355</v>
      </c>
      <c r="D30" s="8" t="n">
        <v>197135</v>
      </c>
      <c r="E30" s="8" t="n">
        <v>1848304</v>
      </c>
    </row>
    <row r="31">
      <c r="A31" s="5" t="inlineStr">
        <is>
          <t>Q3-28</t>
        </is>
      </c>
      <c r="B31" s="10" t="n">
        <v>542693</v>
      </c>
      <c r="C31" s="10" t="n">
        <v>198464</v>
      </c>
      <c r="D31" s="10" t="n">
        <v>344229</v>
      </c>
      <c r="E31" s="10" t="n">
        <v>2192532</v>
      </c>
    </row>
    <row r="32">
      <c r="A32" s="7" t="inlineStr">
        <is>
          <t>Q4-28</t>
        </is>
      </c>
      <c r="B32" s="8" t="n">
        <v>829721</v>
      </c>
      <c r="C32" s="8" t="n">
        <v>224069</v>
      </c>
      <c r="D32" s="8" t="n">
        <v>605652</v>
      </c>
      <c r="E32" s="8" t="n">
        <v>2798184</v>
      </c>
    </row>
    <row r="33">
      <c r="A33" s="5" t="inlineStr">
        <is>
          <t>Q1-29</t>
        </is>
      </c>
      <c r="B33" s="10" t="n">
        <v>1363118</v>
      </c>
      <c r="C33" s="10" t="n">
        <v>339778</v>
      </c>
      <c r="D33" s="10" t="n">
        <v>1023340</v>
      </c>
      <c r="E33" s="10" t="n">
        <v>3821524</v>
      </c>
    </row>
    <row r="34">
      <c r="A34" s="7" t="inlineStr">
        <is>
          <t>Q2-29</t>
        </is>
      </c>
      <c r="B34" s="8" t="n">
        <v>2375917</v>
      </c>
      <c r="C34" s="8" t="n">
        <v>437453</v>
      </c>
      <c r="D34" s="8" t="n">
        <v>1938464</v>
      </c>
      <c r="E34" s="8" t="n">
        <v>5759988</v>
      </c>
    </row>
    <row r="35">
      <c r="A35" s="5" t="inlineStr">
        <is>
          <t>Q3-29</t>
        </is>
      </c>
      <c r="B35" s="10" t="n">
        <v>4322753</v>
      </c>
      <c r="C35" s="10" t="n">
        <v>628224</v>
      </c>
      <c r="D35" s="10" t="n">
        <v>3694529</v>
      </c>
      <c r="E35" s="10" t="n">
        <v>9454517</v>
      </c>
    </row>
    <row r="36">
      <c r="A36" s="7" t="inlineStr">
        <is>
          <t>Q4-29</t>
        </is>
      </c>
      <c r="B36" s="8" t="n">
        <v>8090758</v>
      </c>
      <c r="C36" s="8" t="n">
        <v>1000823</v>
      </c>
      <c r="D36" s="8" t="n">
        <v>7089935</v>
      </c>
      <c r="E36" s="8" t="n">
        <v>16544451</v>
      </c>
    </row>
    <row r="37"/>
    <row r="38"/>
    <row r="39">
      <c r="A39" s="3" t="inlineStr">
        <is>
          <t>Runway Analysis</t>
        </is>
      </c>
    </row>
    <row r="40">
      <c r="A40" s="3" t="inlineStr">
        <is>
          <t>Average Monthly Burn (2026)</t>
        </is>
      </c>
      <c r="B40" s="18" t="n">
        <v>37207</v>
      </c>
    </row>
    <row r="41">
      <c r="A41" s="3" t="inlineStr">
        <is>
          <t>Cash Remaining EOY 2026</t>
        </is>
      </c>
      <c r="B41" s="18" t="n">
        <v>1311009</v>
      </c>
    </row>
    <row r="42">
      <c r="A42" s="3" t="inlineStr">
        <is>
          <t>Runway from EOY 2026 (months)</t>
        </is>
      </c>
      <c r="B42" s="19" t="n">
        <v>35.2</v>
      </c>
    </row>
    <row r="43">
      <c r="A43" s="3" t="inlineStr">
        <is>
          <t>Break-even Quarter (est.)</t>
        </is>
      </c>
      <c r="B43" s="20" t="inlineStr">
        <is>
          <t>Q1-27</t>
        </is>
      </c>
    </row>
    <row r="44"/>
    <row r="45"/>
    <row r="46">
      <c r="A46" t="inlineStr">
        <is>
          <t>Period</t>
        </is>
      </c>
      <c r="B46" t="inlineStr">
        <is>
          <t>Jan-26</t>
        </is>
      </c>
      <c r="C46" t="inlineStr">
        <is>
          <t>Feb-26</t>
        </is>
      </c>
      <c r="D46" t="inlineStr">
        <is>
          <t>Mar-26</t>
        </is>
      </c>
      <c r="E46" t="inlineStr">
        <is>
          <t>Apr-26</t>
        </is>
      </c>
      <c r="F46" t="inlineStr">
        <is>
          <t>May-26</t>
        </is>
      </c>
      <c r="G46" t="inlineStr">
        <is>
          <t>Jun-26</t>
        </is>
      </c>
      <c r="H46" t="inlineStr">
        <is>
          <t>Jul-26</t>
        </is>
      </c>
      <c r="I46" t="inlineStr">
        <is>
          <t>Aug-26</t>
        </is>
      </c>
      <c r="J46" t="inlineStr">
        <is>
          <t>Sep-26</t>
        </is>
      </c>
      <c r="K46" t="inlineStr">
        <is>
          <t>Oct-26</t>
        </is>
      </c>
      <c r="L46" t="inlineStr">
        <is>
          <t>Nov-26</t>
        </is>
      </c>
      <c r="M46" t="inlineStr">
        <is>
          <t>Dec-26</t>
        </is>
      </c>
      <c r="N46" t="inlineStr">
        <is>
          <t>Q1-27</t>
        </is>
      </c>
      <c r="O46" t="inlineStr">
        <is>
          <t>Q2-27</t>
        </is>
      </c>
      <c r="P46" t="inlineStr">
        <is>
          <t>Q3-27</t>
        </is>
      </c>
      <c r="Q46" t="inlineStr">
        <is>
          <t>Q4-27</t>
        </is>
      </c>
      <c r="R46" t="inlineStr">
        <is>
          <t>Q1-28</t>
        </is>
      </c>
      <c r="S46" t="inlineStr">
        <is>
          <t>Q2-28</t>
        </is>
      </c>
      <c r="T46" t="inlineStr">
        <is>
          <t>Q3-28</t>
        </is>
      </c>
      <c r="U46" t="inlineStr">
        <is>
          <t>Q4-28</t>
        </is>
      </c>
      <c r="V46" t="inlineStr">
        <is>
          <t>Q1-29</t>
        </is>
      </c>
      <c r="W46" t="inlineStr">
        <is>
          <t>Q2-29</t>
        </is>
      </c>
      <c r="X46" t="inlineStr">
        <is>
          <t>Q3-29</t>
        </is>
      </c>
      <c r="Y46" t="inlineStr">
        <is>
          <t>Q4-29</t>
        </is>
      </c>
    </row>
    <row r="47">
      <c r="A47" t="inlineStr">
        <is>
          <t>Cash Balance</t>
        </is>
      </c>
      <c r="B47" t="n">
        <v>1464700</v>
      </c>
      <c r="C47" t="n">
        <v>1433481</v>
      </c>
      <c r="D47" t="n">
        <v>1404779</v>
      </c>
      <c r="E47" t="n">
        <v>1378100</v>
      </c>
      <c r="F47" t="n">
        <v>1353452</v>
      </c>
      <c r="G47" t="n">
        <v>1337565</v>
      </c>
      <c r="H47" t="n">
        <v>1324927</v>
      </c>
      <c r="I47" t="n">
        <v>1315548</v>
      </c>
      <c r="J47" t="n">
        <v>1309445</v>
      </c>
      <c r="K47" t="n">
        <v>1306635</v>
      </c>
      <c r="L47" t="n">
        <v>1307148</v>
      </c>
      <c r="M47" t="n">
        <v>1311009</v>
      </c>
      <c r="N47" t="n">
        <v>1322545</v>
      </c>
      <c r="O47" t="n">
        <v>1361523</v>
      </c>
      <c r="P47" t="n">
        <v>1432048</v>
      </c>
      <c r="Q47" t="n">
        <v>1542052</v>
      </c>
      <c r="R47" t="n">
        <v>1651169</v>
      </c>
      <c r="S47" t="n">
        <v>1848304</v>
      </c>
      <c r="T47" t="n">
        <v>2192532</v>
      </c>
      <c r="U47" t="n">
        <v>2798184</v>
      </c>
      <c r="V47" t="n">
        <v>3821524</v>
      </c>
      <c r="W47" t="n">
        <v>5759988</v>
      </c>
      <c r="X47" t="n">
        <v>9454517</v>
      </c>
      <c r="Y47" t="n">
        <v>16544451</v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</sheetPr>
  <dimension ref="A1:D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29" customWidth="1" min="2" max="2"/>
    <col width="14" customWidth="1" min="3" max="3"/>
    <col width="23" customWidth="1" min="4" max="4"/>
  </cols>
  <sheetData>
    <row r="1">
      <c r="A1" s="1" t="inlineStr">
        <is>
          <t>FORK Financial Model -- Key Assumptions</t>
        </is>
      </c>
    </row>
    <row r="2"/>
    <row r="3">
      <c r="A3" s="4" t="inlineStr">
        <is>
          <t>Category</t>
        </is>
      </c>
      <c r="B3" s="4" t="inlineStr">
        <is>
          <t>Parameter</t>
        </is>
      </c>
      <c r="C3" s="4" t="inlineStr">
        <is>
          <t>Value</t>
        </is>
      </c>
      <c r="D3" s="4" t="inlineStr">
        <is>
          <t>Notes</t>
        </is>
      </c>
    </row>
    <row r="4">
      <c r="A4" s="5" t="inlineStr">
        <is>
          <t>B2C</t>
        </is>
      </c>
      <c r="B4" s="5" t="inlineStr">
        <is>
          <t>Launch month (2026)</t>
        </is>
      </c>
      <c r="C4" s="5" t="n">
        <v>2</v>
      </c>
      <c r="D4" s="5" t="inlineStr">
        <is>
          <t>Month 2 = Feb-26</t>
        </is>
      </c>
    </row>
    <row r="5">
      <c r="A5" s="7" t="inlineStr">
        <is>
          <t>B2C</t>
        </is>
      </c>
      <c r="B5" s="7" t="inlineStr">
        <is>
          <t>Initial users at launch</t>
        </is>
      </c>
      <c r="C5" s="8" t="n">
        <v>150</v>
      </c>
      <c r="D5" s="7" t="inlineStr">
        <is>
          <t>Free users</t>
        </is>
      </c>
    </row>
    <row r="6">
      <c r="A6" s="5" t="inlineStr">
        <is>
          <t>B2C</t>
        </is>
      </c>
      <c r="B6" s="5" t="inlineStr">
        <is>
          <t>Month-over-month growth</t>
        </is>
      </c>
      <c r="C6" s="21" t="n">
        <v>0.25</v>
      </c>
      <c r="D6" s="5" t="inlineStr">
        <is>
          <t>Organic + paid</t>
        </is>
      </c>
    </row>
    <row r="7">
      <c r="A7" s="7" t="inlineStr">
        <is>
          <t>B2C</t>
        </is>
      </c>
      <c r="B7" s="7" t="inlineStr">
        <is>
          <t>Premium conversion rate</t>
        </is>
      </c>
      <c r="C7" s="22" t="n">
        <v>0.12</v>
      </c>
      <c r="D7" s="7" t="inlineStr">
        <is>
          <t>Free-to-paid</t>
        </is>
      </c>
    </row>
    <row r="8">
      <c r="A8" s="5" t="inlineStr">
        <is>
          <t>B2C</t>
        </is>
      </c>
      <c r="B8" s="5" t="inlineStr">
        <is>
          <t>Subscription price</t>
        </is>
      </c>
      <c r="C8" s="5" t="n">
        <v>4.99</v>
      </c>
      <c r="D8" s="5" t="inlineStr">
        <is>
          <t>$/month</t>
        </is>
      </c>
    </row>
    <row r="9">
      <c r="A9" s="7" t="inlineStr"/>
      <c r="B9" s="7" t="inlineStr"/>
      <c r="C9" s="7" t="inlineStr"/>
      <c r="D9" s="7" t="inlineStr"/>
    </row>
    <row r="10">
      <c r="A10" s="5" t="inlineStr">
        <is>
          <t>B2B</t>
        </is>
      </c>
      <c r="B10" s="5" t="inlineStr">
        <is>
          <t>Launch month (2026)</t>
        </is>
      </c>
      <c r="C10" s="5" t="n">
        <v>2</v>
      </c>
      <c r="D10" s="5" t="inlineStr">
        <is>
          <t>Month 2</t>
        </is>
      </c>
    </row>
    <row r="11">
      <c r="A11" s="7" t="inlineStr">
        <is>
          <t>B2B</t>
        </is>
      </c>
      <c r="B11" s="7" t="inlineStr">
        <is>
          <t>Initial restaurant partners</t>
        </is>
      </c>
      <c r="C11" s="7" t="n">
        <v>8</v>
      </c>
      <c r="D11" s="7" t="inlineStr">
        <is>
          <t>At launch</t>
        </is>
      </c>
    </row>
    <row r="12">
      <c r="A12" s="5" t="inlineStr">
        <is>
          <t>B2B</t>
        </is>
      </c>
      <c r="B12" s="5" t="inlineStr">
        <is>
          <t>New restaurants / month</t>
        </is>
      </c>
      <c r="C12" s="5" t="n">
        <v>5</v>
      </c>
      <c r="D12" s="5" t="inlineStr">
        <is>
          <t>Sales pipeline</t>
        </is>
      </c>
    </row>
    <row r="13">
      <c r="A13" s="7" t="inlineStr">
        <is>
          <t>B2B</t>
        </is>
      </c>
      <c r="B13" s="7" t="inlineStr">
        <is>
          <t>Monthly SaaS fee</t>
        </is>
      </c>
      <c r="C13" s="8" t="n">
        <v>500</v>
      </c>
      <c r="D13" s="7" t="inlineStr">
        <is>
          <t>$/restaurant/month</t>
        </is>
      </c>
    </row>
    <row r="14">
      <c r="A14" s="5" t="inlineStr"/>
      <c r="B14" s="5" t="inlineStr"/>
      <c r="C14" s="5" t="inlineStr"/>
      <c r="D14" s="5" t="inlineStr"/>
    </row>
    <row r="15">
      <c r="A15" s="7" t="inlineStr">
        <is>
          <t>Data Licensing</t>
        </is>
      </c>
      <c r="B15" s="7" t="inlineStr">
        <is>
          <t>Start quarter (global)</t>
        </is>
      </c>
      <c r="C15" s="7" t="n">
        <v>5</v>
      </c>
      <c r="D15" s="7" t="inlineStr">
        <is>
          <t>Quarters from Q1-2027</t>
        </is>
      </c>
    </row>
    <row r="16">
      <c r="A16" s="5" t="inlineStr">
        <is>
          <t>Data Licensing</t>
        </is>
      </c>
      <c r="B16" s="5" t="inlineStr">
        <is>
          <t>Initial quarterly revenue</t>
        </is>
      </c>
      <c r="C16" s="10" t="n">
        <v>10000</v>
      </c>
      <c r="D16" s="5" t="inlineStr">
        <is>
          <t>$</t>
        </is>
      </c>
    </row>
    <row r="17">
      <c r="A17" s="7" t="inlineStr">
        <is>
          <t>Data Licensing</t>
        </is>
      </c>
      <c r="B17" s="7" t="inlineStr">
        <is>
          <t>Quarterly growth rate</t>
        </is>
      </c>
      <c r="C17" s="22" t="n">
        <v>0.35</v>
      </c>
      <c r="D17" s="7" t="inlineStr">
        <is>
          <t>Compound</t>
        </is>
      </c>
    </row>
    <row r="18">
      <c r="A18" s="5" t="inlineStr"/>
      <c r="B18" s="5" t="inlineStr"/>
      <c r="C18" s="5" t="inlineStr"/>
      <c r="D18" s="5" t="inlineStr"/>
    </row>
    <row r="19">
      <c r="A19" s="7" t="inlineStr">
        <is>
          <t>Promoted Dishes</t>
        </is>
      </c>
      <c r="B19" s="7" t="inlineStr">
        <is>
          <t>Base monthly revenue</t>
        </is>
      </c>
      <c r="C19" s="8" t="n">
        <v>1200</v>
      </c>
      <c r="D19" s="7" t="inlineStr">
        <is>
          <t>$</t>
        </is>
      </c>
    </row>
    <row r="20">
      <c r="A20" s="5" t="inlineStr">
        <is>
          <t>Promoted Dishes</t>
        </is>
      </c>
      <c r="B20" s="5" t="inlineStr">
        <is>
          <t>Growth rate per quarter</t>
        </is>
      </c>
      <c r="C20" s="21" t="n">
        <v>0.22</v>
      </c>
      <c r="D20" s="5" t="inlineStr"/>
    </row>
    <row r="21">
      <c r="A21" s="7" t="inlineStr"/>
      <c r="B21" s="7" t="inlineStr"/>
      <c r="C21" s="7" t="inlineStr"/>
      <c r="D21" s="7" t="inlineStr"/>
    </row>
    <row r="22">
      <c r="A22" s="5" t="inlineStr">
        <is>
          <t>Engineering</t>
        </is>
      </c>
      <c r="B22" s="5" t="inlineStr">
        <is>
          <t>Monthly cost (initial)</t>
        </is>
      </c>
      <c r="C22" s="10" t="n">
        <v>22000</v>
      </c>
      <c r="D22" s="5" t="inlineStr">
        <is>
          <t>$</t>
        </is>
      </c>
    </row>
    <row r="23">
      <c r="A23" s="7" t="inlineStr">
        <is>
          <t>Engineering</t>
        </is>
      </c>
      <c r="B23" s="7" t="inlineStr">
        <is>
          <t>Annual cost growth</t>
        </is>
      </c>
      <c r="C23" s="22" t="n">
        <v>0.7</v>
      </c>
      <c r="D23" s="7" t="inlineStr">
        <is>
          <t>Hiring ramp</t>
        </is>
      </c>
    </row>
    <row r="24">
      <c r="A24" s="5" t="inlineStr">
        <is>
          <t>Cloud/Infra</t>
        </is>
      </c>
      <c r="B24" s="5" t="inlineStr">
        <is>
          <t>Base monthly</t>
        </is>
      </c>
      <c r="C24" s="10" t="n">
        <v>800</v>
      </c>
      <c r="D24" s="5" t="inlineStr">
        <is>
          <t>$</t>
        </is>
      </c>
    </row>
    <row r="25">
      <c r="A25" s="7" t="inlineStr">
        <is>
          <t>Cloud/Infra</t>
        </is>
      </c>
      <c r="B25" s="7" t="inlineStr">
        <is>
          <t>Per-user increment</t>
        </is>
      </c>
      <c r="C25" s="22" t="n">
        <v>0.06</v>
      </c>
      <c r="D25" s="7" t="inlineStr">
        <is>
          <t>$/user/month</t>
        </is>
      </c>
    </row>
    <row r="26">
      <c r="A26" s="5" t="inlineStr">
        <is>
          <t>Marketing</t>
        </is>
      </c>
      <c r="B26" s="5" t="inlineStr">
        <is>
          <t>Base monthly</t>
        </is>
      </c>
      <c r="C26" s="10" t="n">
        <v>7000</v>
      </c>
      <c r="D26" s="5" t="inlineStr">
        <is>
          <t>$</t>
        </is>
      </c>
    </row>
    <row r="27">
      <c r="A27" s="7" t="inlineStr">
        <is>
          <t>Marketing</t>
        </is>
      </c>
      <c r="B27" s="7" t="inlineStr">
        <is>
          <t>Annual growth multiplier</t>
        </is>
      </c>
      <c r="C27" s="22" t="n">
        <v>0.8</v>
      </c>
      <c r="D27" s="7" t="inlineStr"/>
    </row>
    <row r="28">
      <c r="A28" s="5" t="inlineStr">
        <is>
          <t>Legal/IP</t>
        </is>
      </c>
      <c r="B28" s="5" t="inlineStr">
        <is>
          <t>Monthly</t>
        </is>
      </c>
      <c r="C28" s="10" t="n">
        <v>2500</v>
      </c>
      <c r="D28" s="5" t="inlineStr">
        <is>
          <t>Patent prosecution</t>
        </is>
      </c>
    </row>
    <row r="29">
      <c r="A29" s="7" t="inlineStr">
        <is>
          <t>Operations</t>
        </is>
      </c>
      <c r="B29" s="7" t="inlineStr">
        <is>
          <t>Monthly</t>
        </is>
      </c>
      <c r="C29" s="8" t="n">
        <v>3000</v>
      </c>
      <c r="D29" s="7" t="inlineStr">
        <is>
          <t>$</t>
        </is>
      </c>
    </row>
    <row r="30">
      <c r="A30" s="5" t="inlineStr"/>
      <c r="B30" s="5" t="inlineStr"/>
      <c r="C30" s="5" t="inlineStr"/>
      <c r="D30" s="5" t="inlineStr"/>
    </row>
    <row r="31">
      <c r="A31" s="7" t="inlineStr">
        <is>
          <t>Funding</t>
        </is>
      </c>
      <c r="B31" s="7" t="inlineStr">
        <is>
          <t>Raise amount</t>
        </is>
      </c>
      <c r="C31" s="8" t="n">
        <v>1500000</v>
      </c>
      <c r="D31" s="7" t="inlineStr">
        <is>
          <t>$</t>
        </is>
      </c>
    </row>
    <row r="32">
      <c r="A32" s="5" t="inlineStr">
        <is>
          <t>Funding</t>
        </is>
      </c>
      <c r="B32" s="5" t="inlineStr">
        <is>
          <t>Pre-money valuation</t>
        </is>
      </c>
      <c r="C32" s="10" t="n">
        <v>6000000</v>
      </c>
      <c r="D32" s="5" t="inlineStr">
        <is>
          <t>$</t>
        </is>
      </c>
    </row>
    <row r="33">
      <c r="A33" s="7" t="inlineStr">
        <is>
          <t>Funding</t>
        </is>
      </c>
      <c r="B33" s="7" t="inlineStr">
        <is>
          <t>Post-money valuation</t>
        </is>
      </c>
      <c r="C33" s="8" t="n">
        <v>7500000</v>
      </c>
      <c r="D33" s="7" t="inlineStr">
        <is>
          <t>$</t>
        </is>
      </c>
    </row>
    <row r="34">
      <c r="A34" s="5" t="inlineStr">
        <is>
          <t>Funding</t>
        </is>
      </c>
      <c r="B34" s="5" t="inlineStr">
        <is>
          <t>Dilution</t>
        </is>
      </c>
      <c r="C34" s="5" t="n">
        <v>20</v>
      </c>
      <c r="D34" s="5" t="inlineStr">
        <is>
          <t>%</t>
        </is>
      </c>
    </row>
    <row r="35">
      <c r="A35" s="7" t="inlineStr"/>
      <c r="B35" s="7" t="inlineStr"/>
      <c r="C35" s="7" t="inlineStr"/>
      <c r="D35" s="7" t="inlineStr"/>
    </row>
    <row r="36">
      <c r="A36" s="5" t="inlineStr">
        <is>
          <t>Unit Economics</t>
        </is>
      </c>
      <c r="B36" s="5" t="inlineStr">
        <is>
          <t>CAC (B2C)</t>
        </is>
      </c>
      <c r="C36" s="5" t="n">
        <v>5</v>
      </c>
      <c r="D36" s="5" t="inlineStr">
        <is>
          <t>$</t>
        </is>
      </c>
    </row>
    <row r="37">
      <c r="A37" s="7" t="inlineStr">
        <is>
          <t>Unit Economics</t>
        </is>
      </c>
      <c r="B37" s="7" t="inlineStr">
        <is>
          <t>CAC (B2B)</t>
        </is>
      </c>
      <c r="C37" s="8" t="n">
        <v>1800</v>
      </c>
      <c r="D37" s="7" t="inlineStr">
        <is>
          <t>$</t>
        </is>
      </c>
    </row>
    <row r="38">
      <c r="A38" s="5" t="inlineStr">
        <is>
          <t>Unit Economics</t>
        </is>
      </c>
      <c r="B38" s="5" t="inlineStr">
        <is>
          <t>Avg B2C lifetime (months)</t>
        </is>
      </c>
      <c r="C38" s="5" t="n">
        <v>18</v>
      </c>
      <c r="D38" s="5" t="inlineStr"/>
    </row>
    <row r="39">
      <c r="A39" s="7" t="inlineStr">
        <is>
          <t>Unit Economics</t>
        </is>
      </c>
      <c r="B39" s="7" t="inlineStr">
        <is>
          <t>Avg B2B lifetime (months)</t>
        </is>
      </c>
      <c r="C39" s="7" t="n">
        <v>36</v>
      </c>
      <c r="D39" s="7" t="inlineStr"/>
    </row>
    <row r="40">
      <c r="A40" s="5" t="inlineStr">
        <is>
          <t>Unit Economics</t>
        </is>
      </c>
      <c r="B40" s="5" t="inlineStr">
        <is>
          <t>Gross margin B2C</t>
        </is>
      </c>
      <c r="C40" s="21" t="n">
        <v>0.9</v>
      </c>
      <c r="D40" s="5" t="inlineStr"/>
    </row>
    <row r="41">
      <c r="A41" s="7" t="inlineStr">
        <is>
          <t>Unit Economics</t>
        </is>
      </c>
      <c r="B41" s="7" t="inlineStr">
        <is>
          <t>Gross margin B2B</t>
        </is>
      </c>
      <c r="C41" s="22" t="n">
        <v>0.8</v>
      </c>
      <c r="D41" s="7" t="inlineStr"/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5" customWidth="1" min="1" max="1"/>
    <col width="19" customWidth="1" min="2" max="2"/>
    <col width="21" customWidth="1" min="3" max="3"/>
    <col width="22" customWidth="1" min="4" max="4"/>
    <col width="22" customWidth="1" min="5" max="5"/>
    <col width="16" customWidth="1" min="6" max="6"/>
    <col width="16" customWidth="1" min="7" max="7"/>
  </cols>
  <sheetData>
    <row r="1">
      <c r="A1" s="1" t="inlineStr">
        <is>
          <t>FORK Investor Returns Analysis -- Aggressive / Upside</t>
        </is>
      </c>
    </row>
    <row r="2"/>
    <row r="3">
      <c r="A3" s="3" t="inlineStr">
        <is>
          <t>Exit Scenario Analysis</t>
        </is>
      </c>
    </row>
    <row r="4">
      <c r="A4" s="23" t="inlineStr">
        <is>
          <t>Based on Aggressive / Upside ARR projections</t>
        </is>
      </c>
    </row>
    <row r="5"/>
    <row r="6">
      <c r="A6" s="4" t="inlineStr">
        <is>
          <t>Exit Year</t>
        </is>
      </c>
      <c r="B6" s="4" t="inlineStr">
        <is>
          <t>Projected ARR</t>
        </is>
      </c>
      <c r="C6" s="4" t="inlineStr">
        <is>
          <t>5x Revenue Multiple</t>
        </is>
      </c>
      <c r="D6" s="4" t="inlineStr">
        <is>
          <t>10x Revenue Multiple</t>
        </is>
      </c>
      <c r="E6" s="4" t="inlineStr">
        <is>
          <t>20x Revenue Multiple</t>
        </is>
      </c>
    </row>
    <row r="7">
      <c r="A7" s="5" t="inlineStr">
        <is>
          <t>End of 2027</t>
        </is>
      </c>
      <c r="B7" s="10" t="n">
        <v>878040</v>
      </c>
      <c r="C7" s="10" t="n">
        <v>4390199</v>
      </c>
      <c r="D7" s="10" t="n">
        <v>8780398</v>
      </c>
      <c r="E7" s="10" t="n">
        <v>17560797</v>
      </c>
    </row>
    <row r="8">
      <c r="A8" s="7" t="inlineStr">
        <is>
          <t>End of 2028</t>
        </is>
      </c>
      <c r="B8" s="8" t="n">
        <v>3318885</v>
      </c>
      <c r="C8" s="8" t="n">
        <v>16594423</v>
      </c>
      <c r="D8" s="8" t="n">
        <v>33188846</v>
      </c>
      <c r="E8" s="8" t="n">
        <v>66377691</v>
      </c>
    </row>
    <row r="9">
      <c r="A9" s="5" t="inlineStr">
        <is>
          <t>End of 2029</t>
        </is>
      </c>
      <c r="B9" s="10" t="n">
        <v>32363032</v>
      </c>
      <c r="C9" s="10" t="n">
        <v>161815160</v>
      </c>
      <c r="D9" s="10" t="n">
        <v>323630320</v>
      </c>
      <c r="E9" s="10" t="n">
        <v>647260640</v>
      </c>
    </row>
    <row r="10"/>
    <row r="11"/>
    <row r="12">
      <c r="A12" s="3" t="inlineStr">
        <is>
          <t>Investor Returns: $500,000 Investment</t>
        </is>
      </c>
    </row>
    <row r="13">
      <c r="A13" s="23" t="inlineStr">
        <is>
          <t>Ownership: 7.7% (at $6,000,000 pre-money)</t>
        </is>
      </c>
    </row>
    <row r="14"/>
    <row r="15">
      <c r="A15" s="4" t="inlineStr">
        <is>
          <t>Exit Scenario</t>
        </is>
      </c>
      <c r="B15" s="4" t="inlineStr">
        <is>
          <t>Company Valuation</t>
        </is>
      </c>
      <c r="C15" s="4" t="inlineStr">
        <is>
          <t>Investor Share</t>
        </is>
      </c>
      <c r="D15" s="4" t="inlineStr">
        <is>
          <t>Return Multiple</t>
        </is>
      </c>
      <c r="E15" s="4" t="inlineStr">
        <is>
          <t>Profit</t>
        </is>
      </c>
    </row>
    <row r="16">
      <c r="A16" s="5" t="inlineStr">
        <is>
          <t>End of 2027 @ 5x</t>
        </is>
      </c>
      <c r="B16" s="10" t="n">
        <v>4390199</v>
      </c>
      <c r="C16" s="10" t="n">
        <v>337708</v>
      </c>
      <c r="D16" s="5" t="inlineStr">
        <is>
          <t>0.7x</t>
        </is>
      </c>
      <c r="E16" s="10" t="n">
        <v>-162292</v>
      </c>
    </row>
    <row r="17">
      <c r="A17" s="7" t="inlineStr">
        <is>
          <t>End of 2027 @ 10x</t>
        </is>
      </c>
      <c r="B17" s="8" t="n">
        <v>8780398</v>
      </c>
      <c r="C17" s="8" t="n">
        <v>675415</v>
      </c>
      <c r="D17" s="7" t="inlineStr">
        <is>
          <t>1.4x</t>
        </is>
      </c>
      <c r="E17" s="8" t="n">
        <v>175415</v>
      </c>
    </row>
    <row r="18">
      <c r="A18" s="5" t="inlineStr">
        <is>
          <t>End of 2027 @ 20x</t>
        </is>
      </c>
      <c r="B18" s="10" t="n">
        <v>17560797</v>
      </c>
      <c r="C18" s="10" t="n">
        <v>1350831</v>
      </c>
      <c r="D18" s="5" t="inlineStr">
        <is>
          <t>2.7x</t>
        </is>
      </c>
      <c r="E18" s="10" t="n">
        <v>850831</v>
      </c>
    </row>
    <row r="19">
      <c r="A19" s="7" t="inlineStr">
        <is>
          <t>End of 2028 @ 5x</t>
        </is>
      </c>
      <c r="B19" s="8" t="n">
        <v>16594423</v>
      </c>
      <c r="C19" s="8" t="n">
        <v>1276494</v>
      </c>
      <c r="D19" s="7" t="inlineStr">
        <is>
          <t>2.6x</t>
        </is>
      </c>
      <c r="E19" s="8" t="n">
        <v>776494</v>
      </c>
    </row>
    <row r="20">
      <c r="A20" s="5" t="inlineStr">
        <is>
          <t>End of 2028 @ 10x</t>
        </is>
      </c>
      <c r="B20" s="10" t="n">
        <v>33188846</v>
      </c>
      <c r="C20" s="10" t="n">
        <v>2552988</v>
      </c>
      <c r="D20" s="5" t="inlineStr">
        <is>
          <t>5.1x</t>
        </is>
      </c>
      <c r="E20" s="10" t="n">
        <v>2052988</v>
      </c>
    </row>
    <row r="21">
      <c r="A21" s="7" t="inlineStr">
        <is>
          <t>End of 2028 @ 20x</t>
        </is>
      </c>
      <c r="B21" s="8" t="n">
        <v>66377691</v>
      </c>
      <c r="C21" s="8" t="n">
        <v>5105976</v>
      </c>
      <c r="D21" s="7" t="inlineStr">
        <is>
          <t>10.2x</t>
        </is>
      </c>
      <c r="E21" s="8" t="n">
        <v>4605976</v>
      </c>
    </row>
    <row r="22">
      <c r="A22" s="9" t="inlineStr">
        <is>
          <t>End of 2029 @ 5x</t>
        </is>
      </c>
      <c r="B22" s="6" t="n">
        <v>161815160</v>
      </c>
      <c r="C22" s="6" t="n">
        <v>12447320</v>
      </c>
      <c r="D22" s="9" t="inlineStr">
        <is>
          <t>24.9x</t>
        </is>
      </c>
      <c r="E22" s="6" t="n">
        <v>11947320</v>
      </c>
    </row>
    <row r="23">
      <c r="A23" s="7" t="inlineStr">
        <is>
          <t>End of 2029 @ 10x</t>
        </is>
      </c>
      <c r="B23" s="8" t="n">
        <v>323630320</v>
      </c>
      <c r="C23" s="8" t="n">
        <v>24894640</v>
      </c>
      <c r="D23" s="7" t="inlineStr">
        <is>
          <t>49.8x</t>
        </is>
      </c>
      <c r="E23" s="8" t="n">
        <v>24394640</v>
      </c>
    </row>
    <row r="24">
      <c r="A24" s="9" t="inlineStr">
        <is>
          <t>End of 2029 @ 20x</t>
        </is>
      </c>
      <c r="B24" s="6" t="n">
        <v>647260640</v>
      </c>
      <c r="C24" s="6" t="n">
        <v>49789280</v>
      </c>
      <c r="D24" s="9" t="inlineStr">
        <is>
          <t>99.6x</t>
        </is>
      </c>
      <c r="E24" s="6" t="n">
        <v>49289280</v>
      </c>
    </row>
    <row r="25"/>
    <row r="26"/>
    <row r="27"/>
    <row r="28">
      <c r="A28" s="3" t="inlineStr">
        <is>
          <t>Investor Returns: $1,500,000 Investment</t>
        </is>
      </c>
    </row>
    <row r="29">
      <c r="A29" s="23" t="inlineStr">
        <is>
          <t>Ownership: 20.0% (at $6,000,000 pre-money)</t>
        </is>
      </c>
    </row>
    <row r="30"/>
    <row r="31">
      <c r="A31" s="4" t="inlineStr">
        <is>
          <t>Exit Scenario</t>
        </is>
      </c>
      <c r="B31" s="4" t="inlineStr">
        <is>
          <t>Company Valuation</t>
        </is>
      </c>
      <c r="C31" s="4" t="inlineStr">
        <is>
          <t>Investor Share</t>
        </is>
      </c>
      <c r="D31" s="4" t="inlineStr">
        <is>
          <t>Return Multiple</t>
        </is>
      </c>
      <c r="E31" s="4" t="inlineStr">
        <is>
          <t>Profit</t>
        </is>
      </c>
    </row>
    <row r="32">
      <c r="A32" s="5" t="inlineStr">
        <is>
          <t>End of 2027 @ 5x</t>
        </is>
      </c>
      <c r="B32" s="10" t="n">
        <v>4390199</v>
      </c>
      <c r="C32" s="10" t="n">
        <v>878040</v>
      </c>
      <c r="D32" s="5" t="inlineStr">
        <is>
          <t>0.6x</t>
        </is>
      </c>
      <c r="E32" s="10" t="n">
        <v>-621960</v>
      </c>
    </row>
    <row r="33">
      <c r="A33" s="7" t="inlineStr">
        <is>
          <t>End of 2027 @ 10x</t>
        </is>
      </c>
      <c r="B33" s="8" t="n">
        <v>8780398</v>
      </c>
      <c r="C33" s="8" t="n">
        <v>1756080</v>
      </c>
      <c r="D33" s="7" t="inlineStr">
        <is>
          <t>1.2x</t>
        </is>
      </c>
      <c r="E33" s="8" t="n">
        <v>256080</v>
      </c>
    </row>
    <row r="34">
      <c r="A34" s="5" t="inlineStr">
        <is>
          <t>End of 2027 @ 20x</t>
        </is>
      </c>
      <c r="B34" s="10" t="n">
        <v>17560797</v>
      </c>
      <c r="C34" s="10" t="n">
        <v>3512159</v>
      </c>
      <c r="D34" s="5" t="inlineStr">
        <is>
          <t>2.3x</t>
        </is>
      </c>
      <c r="E34" s="10" t="n">
        <v>2012159</v>
      </c>
    </row>
    <row r="35">
      <c r="A35" s="7" t="inlineStr">
        <is>
          <t>End of 2028 @ 5x</t>
        </is>
      </c>
      <c r="B35" s="8" t="n">
        <v>16594423</v>
      </c>
      <c r="C35" s="8" t="n">
        <v>3318885</v>
      </c>
      <c r="D35" s="7" t="inlineStr">
        <is>
          <t>2.2x</t>
        </is>
      </c>
      <c r="E35" s="8" t="n">
        <v>1818885</v>
      </c>
    </row>
    <row r="36">
      <c r="A36" s="5" t="inlineStr">
        <is>
          <t>End of 2028 @ 10x</t>
        </is>
      </c>
      <c r="B36" s="10" t="n">
        <v>33188846</v>
      </c>
      <c r="C36" s="10" t="n">
        <v>6637769</v>
      </c>
      <c r="D36" s="5" t="inlineStr">
        <is>
          <t>4.4x</t>
        </is>
      </c>
      <c r="E36" s="10" t="n">
        <v>5137769</v>
      </c>
    </row>
    <row r="37">
      <c r="A37" s="7" t="inlineStr">
        <is>
          <t>End of 2028 @ 20x</t>
        </is>
      </c>
      <c r="B37" s="8" t="n">
        <v>66377691</v>
      </c>
      <c r="C37" s="8" t="n">
        <v>13275538</v>
      </c>
      <c r="D37" s="7" t="inlineStr">
        <is>
          <t>8.9x</t>
        </is>
      </c>
      <c r="E37" s="8" t="n">
        <v>11775538</v>
      </c>
    </row>
    <row r="38">
      <c r="A38" s="9" t="inlineStr">
        <is>
          <t>End of 2029 @ 5x</t>
        </is>
      </c>
      <c r="B38" s="6" t="n">
        <v>161815160</v>
      </c>
      <c r="C38" s="6" t="n">
        <v>32363032</v>
      </c>
      <c r="D38" s="9" t="inlineStr">
        <is>
          <t>21.6x</t>
        </is>
      </c>
      <c r="E38" s="6" t="n">
        <v>30863032</v>
      </c>
    </row>
    <row r="39">
      <c r="A39" s="7" t="inlineStr">
        <is>
          <t>End of 2029 @ 10x</t>
        </is>
      </c>
      <c r="B39" s="8" t="n">
        <v>323630320</v>
      </c>
      <c r="C39" s="8" t="n">
        <v>64726064</v>
      </c>
      <c r="D39" s="7" t="inlineStr">
        <is>
          <t>43.2x</t>
        </is>
      </c>
      <c r="E39" s="8" t="n">
        <v>63226064</v>
      </c>
    </row>
    <row r="40">
      <c r="A40" s="9" t="inlineStr">
        <is>
          <t>End of 2029 @ 20x</t>
        </is>
      </c>
      <c r="B40" s="6" t="n">
        <v>647260640</v>
      </c>
      <c r="C40" s="6" t="n">
        <v>129452128</v>
      </c>
      <c r="D40" s="9" t="inlineStr">
        <is>
          <t>86.3x</t>
        </is>
      </c>
      <c r="E40" s="6" t="n">
        <v>127952128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2026-03-24T05:41:25Z</dcterms:created>
  <dcterms:modified xmlns:dcterms="http://purl.org/dc/terms/" xmlns:xsi="http://www.w3.org/2001/XMLSchema-instance" xsi:type="dcterms:W3CDTF">2026-03-24T05:41:25Z</dcterms:modified>
</cp:coreProperties>
</file>